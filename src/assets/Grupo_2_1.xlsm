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ayanaromero/Downloads/S2-Tablas/"/>
    </mc:Choice>
  </mc:AlternateContent>
  <xr:revisionPtr revIDLastSave="0" documentId="13_ncr:1_{E29E1755-C151-1042-952D-3973EDBD0F17}" xr6:coauthVersionLast="41" xr6:coauthVersionMax="41" xr10:uidLastSave="{00000000-0000-0000-0000-000000000000}"/>
  <bookViews>
    <workbookView xWindow="0" yWindow="460" windowWidth="25600" windowHeight="14820" tabRatio="500" activeTab="1" xr2:uid="{00000000-000D-0000-FFFF-FFFF00000000}"/>
  </bookViews>
  <sheets>
    <sheet name="Reporte_C2" sheetId="9" r:id="rId1"/>
    <sheet name="Total C2" sheetId="10" r:id="rId2"/>
    <sheet name="Reporte_C1" sheetId="4" r:id="rId3"/>
    <sheet name="Persona" sheetId="1" state="hidden" r:id="rId4"/>
    <sheet name="Reporte Total" sheetId="8" r:id="rId5"/>
    <sheet name="Persona consolidado" sheetId="7" state="hidden" r:id="rId6"/>
    <sheet name="Overview" sheetId="2" state="hidden" r:id="rId7"/>
    <sheet name="subir" sheetId="6" state="hidden" r:id="rId8"/>
  </sheets>
  <definedNames>
    <definedName name="SegmentaciónDeDatos_Nombre">#N/A</definedName>
    <definedName name="SegmentaciónDeDatos_Nombre1">#N/A</definedName>
    <definedName name="SegmentaciónDeDatos_Nombre2">#N/A</definedName>
    <definedName name="SegmentaciónDeDatos_Nombre3">#N/A</definedName>
    <definedName name="SegmentaciónDeDatos_Nombre31">#N/A</definedName>
    <definedName name="SegmentaciónDeDatos_Semana">#N/A</definedName>
    <definedName name="SegmentaciónDeDatos_Semana1">#N/A</definedName>
    <definedName name="SegmentaciónDeDatos_Tipo">#N/A</definedName>
    <definedName name="SegmentaciónDeDatos_Tipo1">#N/A</definedName>
  </definedNames>
  <calcPr calcId="191029"/>
  <pivotCaches>
    <pivotCache cacheId="447" r:id="rId9"/>
    <pivotCache cacheId="452" r:id="rId10"/>
    <pivotCache cacheId="457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" i="10" l="1"/>
  <c r="I34" i="10"/>
  <c r="I33" i="10"/>
  <c r="H33" i="10" s="1"/>
  <c r="I32" i="10"/>
  <c r="H35" i="10"/>
  <c r="H34" i="10"/>
  <c r="H32" i="10"/>
  <c r="I7" i="10"/>
  <c r="H7" i="10"/>
  <c r="H6" i="10" s="1"/>
  <c r="H8" i="10"/>
  <c r="I8" i="10"/>
  <c r="H9" i="10"/>
  <c r="I9" i="10"/>
  <c r="H10" i="10"/>
  <c r="I10" i="10"/>
  <c r="I12" i="10"/>
  <c r="H12" i="10" s="1"/>
  <c r="I13" i="10"/>
  <c r="H13" i="10" s="1"/>
  <c r="I14" i="10"/>
  <c r="H14" i="10" s="1"/>
  <c r="I15" i="10"/>
  <c r="H15" i="10" s="1"/>
  <c r="H17" i="10"/>
  <c r="H16" i="10" s="1"/>
  <c r="I17" i="10"/>
  <c r="H18" i="10"/>
  <c r="I18" i="10"/>
  <c r="H19" i="10"/>
  <c r="I19" i="10"/>
  <c r="H20" i="10"/>
  <c r="I20" i="10"/>
  <c r="I22" i="10"/>
  <c r="H22" i="10" s="1"/>
  <c r="I23" i="10"/>
  <c r="H23" i="10" s="1"/>
  <c r="I24" i="10"/>
  <c r="H24" i="10" s="1"/>
  <c r="I25" i="10"/>
  <c r="H25" i="10" s="1"/>
  <c r="H27" i="10"/>
  <c r="H26" i="10" s="1"/>
  <c r="I27" i="10"/>
  <c r="H28" i="10"/>
  <c r="I28" i="10"/>
  <c r="H29" i="10"/>
  <c r="I29" i="10"/>
  <c r="H30" i="10"/>
  <c r="I30" i="10"/>
  <c r="J56" i="9"/>
  <c r="J57" i="9"/>
  <c r="J58" i="9"/>
  <c r="J59" i="9"/>
  <c r="J60" i="9"/>
  <c r="K56" i="9"/>
  <c r="K57" i="9"/>
  <c r="K58" i="9"/>
  <c r="K59" i="9"/>
  <c r="K60" i="9"/>
  <c r="J50" i="9"/>
  <c r="J51" i="9"/>
  <c r="J52" i="9"/>
  <c r="J53" i="9"/>
  <c r="J54" i="9"/>
  <c r="J55" i="9"/>
  <c r="K50" i="9"/>
  <c r="K51" i="9"/>
  <c r="K52" i="9"/>
  <c r="K53" i="9"/>
  <c r="K54" i="9"/>
  <c r="K55" i="9"/>
  <c r="J46" i="9"/>
  <c r="J47" i="9"/>
  <c r="J48" i="9"/>
  <c r="J49" i="9"/>
  <c r="K46" i="9"/>
  <c r="K47" i="9"/>
  <c r="K48" i="9"/>
  <c r="K49" i="9"/>
  <c r="J41" i="9"/>
  <c r="J42" i="9"/>
  <c r="J43" i="9"/>
  <c r="J44" i="9"/>
  <c r="J45" i="9"/>
  <c r="K41" i="9"/>
  <c r="K42" i="9"/>
  <c r="K43" i="9"/>
  <c r="K44" i="9"/>
  <c r="K45" i="9"/>
  <c r="H31" i="10" l="1"/>
  <c r="H21" i="10"/>
  <c r="H11" i="10"/>
  <c r="J36" i="9"/>
  <c r="J37" i="9"/>
  <c r="J38" i="9"/>
  <c r="J39" i="9"/>
  <c r="J40" i="9"/>
  <c r="K36" i="9"/>
  <c r="K37" i="9"/>
  <c r="K38" i="9"/>
  <c r="K39" i="9"/>
  <c r="K40" i="9"/>
  <c r="J29" i="9"/>
  <c r="J30" i="9"/>
  <c r="J31" i="9"/>
  <c r="J32" i="9"/>
  <c r="J33" i="9"/>
  <c r="J34" i="9"/>
  <c r="J35" i="9"/>
  <c r="K29" i="9"/>
  <c r="K30" i="9"/>
  <c r="K31" i="9"/>
  <c r="K32" i="9"/>
  <c r="K33" i="9"/>
  <c r="K34" i="9"/>
  <c r="K35" i="9"/>
  <c r="J23" i="9" l="1"/>
  <c r="J24" i="9"/>
  <c r="J25" i="9"/>
  <c r="J26" i="9"/>
  <c r="J27" i="9"/>
  <c r="J28" i="9"/>
  <c r="K23" i="9"/>
  <c r="K24" i="9"/>
  <c r="K25" i="9"/>
  <c r="K26" i="9"/>
  <c r="K27" i="9"/>
  <c r="K28" i="9"/>
  <c r="J18" i="9"/>
  <c r="J19" i="9"/>
  <c r="J20" i="9"/>
  <c r="J21" i="9"/>
  <c r="J22" i="9"/>
  <c r="K18" i="9"/>
  <c r="K19" i="9"/>
  <c r="K20" i="9"/>
  <c r="K21" i="9"/>
  <c r="K22" i="9"/>
  <c r="J17" i="9"/>
  <c r="K17" i="9"/>
  <c r="J10" i="9" l="1"/>
  <c r="J11" i="9"/>
  <c r="J12" i="9"/>
  <c r="J13" i="9"/>
  <c r="J14" i="9"/>
  <c r="J15" i="9"/>
  <c r="J16" i="9"/>
  <c r="K10" i="9"/>
  <c r="K11" i="9"/>
  <c r="K12" i="9"/>
  <c r="K13" i="9"/>
  <c r="K14" i="9"/>
  <c r="K15" i="9"/>
  <c r="K16" i="9"/>
  <c r="J9" i="9"/>
  <c r="K9" i="9"/>
  <c r="K8" i="9"/>
  <c r="J8" i="9"/>
  <c r="O7" i="9"/>
  <c r="K7" i="9"/>
  <c r="J7" i="9"/>
  <c r="K6" i="9"/>
  <c r="J6" i="9"/>
  <c r="K5" i="9"/>
  <c r="J5" i="9"/>
  <c r="K4" i="9"/>
  <c r="J4" i="9"/>
  <c r="G25" i="8" l="1"/>
  <c r="G24" i="8"/>
  <c r="G23" i="8"/>
  <c r="G22" i="8"/>
  <c r="G21" i="8"/>
  <c r="G20" i="8"/>
  <c r="G19" i="8"/>
  <c r="H25" i="8"/>
  <c r="H20" i="8"/>
  <c r="H23" i="8"/>
  <c r="H24" i="8"/>
  <c r="H21" i="8"/>
  <c r="H22" i="8"/>
  <c r="H26" i="8"/>
  <c r="G10" i="8" l="1"/>
  <c r="G9" i="8"/>
  <c r="G8" i="8"/>
  <c r="G7" i="8"/>
  <c r="G6" i="8"/>
  <c r="G5" i="8"/>
  <c r="G4" i="8"/>
  <c r="H8" i="8"/>
  <c r="H10" i="8"/>
  <c r="H9" i="8"/>
  <c r="H11" i="8"/>
  <c r="H6" i="8"/>
  <c r="H7" i="8"/>
  <c r="H5" i="8"/>
  <c r="C11" i="4" l="1"/>
  <c r="C29" i="4" l="1"/>
</calcChain>
</file>

<file path=xl/sharedStrings.xml><?xml version="1.0" encoding="utf-8"?>
<sst xmlns="http://schemas.openxmlformats.org/spreadsheetml/2006/main" count="2998" uniqueCount="162">
  <si>
    <t>Tipo</t>
  </si>
  <si>
    <t>Nombre</t>
  </si>
  <si>
    <t>Semana</t>
  </si>
  <si>
    <t>#</t>
  </si>
  <si>
    <t>Task List</t>
  </si>
  <si>
    <t>Task Name</t>
  </si>
  <si>
    <t>Status Text</t>
  </si>
  <si>
    <t>Assigned To</t>
  </si>
  <si>
    <t>Completed By Firstname</t>
  </si>
  <si>
    <t>Completed By Lastname</t>
  </si>
  <si>
    <t>Completed On Time</t>
  </si>
  <si>
    <t>Time Estimate</t>
  </si>
  <si>
    <t>C1_S1</t>
  </si>
  <si>
    <t>1-1 Estudiar Arquitectura</t>
  </si>
  <si>
    <t>not started</t>
  </si>
  <si>
    <t>1-2 Estudiar UML</t>
  </si>
  <si>
    <t>1-3 Realizar el UML individual del proyecto</t>
  </si>
  <si>
    <t>completed</t>
  </si>
  <si>
    <t>C1_S2</t>
  </si>
  <si>
    <t>2-1 Responder Prueba Hermann</t>
  </si>
  <si>
    <t>2-2 Propuesta de valor individual</t>
  </si>
  <si>
    <t>2-3 Reglas de funcionamiento</t>
  </si>
  <si>
    <t>2.4 Consolidar UML</t>
  </si>
  <si>
    <t>2.5 Distribución de recursos</t>
  </si>
  <si>
    <t>C1_S3</t>
  </si>
  <si>
    <t>Consolidar Diseño DTOs en genmymodel. "TODOS LOS INTEGRANTES"</t>
  </si>
  <si>
    <t>Consolidar Definición Recursos y Distribución. "TODOS LOS INTEGRANTES"</t>
  </si>
  <si>
    <t>Actualizar planeación teamwork semana 3</t>
  </si>
  <si>
    <t>Suma de #</t>
  </si>
  <si>
    <t>Etiquetas de fila</t>
  </si>
  <si>
    <t>Total general</t>
  </si>
  <si>
    <t>Etiquetas de columna</t>
  </si>
  <si>
    <t>1. Tareas planeadas</t>
  </si>
  <si>
    <t>2. Tareas cerradas</t>
  </si>
  <si>
    <t>2.1 Por otros</t>
  </si>
  <si>
    <t>2.2 A tiempo</t>
  </si>
  <si>
    <t>2.3 Tarde</t>
  </si>
  <si>
    <t>2.4 Sin logs</t>
  </si>
  <si>
    <t>3. Tareas sin iniciar</t>
  </si>
  <si>
    <t>4. Tareas en proceso</t>
  </si>
  <si>
    <t>Melendez Nova N.</t>
  </si>
  <si>
    <t>Acosta Villegas S.</t>
  </si>
  <si>
    <t>Acosta Villegas</t>
  </si>
  <si>
    <t>Sara</t>
  </si>
  <si>
    <t>Benavides Pedroza D.</t>
  </si>
  <si>
    <t>Benavides Pedroza</t>
  </si>
  <si>
    <t>Dany Alejandro</t>
  </si>
  <si>
    <t>Duarte Benitez V.</t>
  </si>
  <si>
    <t>Duarte Benitez</t>
  </si>
  <si>
    <t>Valentina</t>
  </si>
  <si>
    <t>Rincon Diaz N.</t>
  </si>
  <si>
    <t>Rincon Diaz</t>
  </si>
  <si>
    <t>Nicolas</t>
  </si>
  <si>
    <t>Trujillo Agudelo A.</t>
  </si>
  <si>
    <t>Trujillo Agudelo</t>
  </si>
  <si>
    <t>Adriana</t>
  </si>
  <si>
    <t>Trujillo Agudelo A.|Rincon Diaz N.|Melendez Nova N.|Duarte Benitez V.|Benavides Pedroza D.|Acosta Villegas S.</t>
  </si>
  <si>
    <t>Diseño DTO para Recurso Usuario y Fotografo</t>
  </si>
  <si>
    <t>Implementación de los DTOs y del recurso Usuario y Fotografo</t>
  </si>
  <si>
    <t>Diseño DTO para Recurso Foto</t>
  </si>
  <si>
    <t>Implementación de los DTOs y del recurso Foto</t>
  </si>
  <si>
    <t>Implementarlas pruebas de los recursos Foto en Postman</t>
  </si>
  <si>
    <t>Diseño DTO para Recurso Cliente y Factura</t>
  </si>
  <si>
    <t>Implementación de los DTOs y del recurso Cliente y Factura</t>
  </si>
  <si>
    <t>Implementarlas pruebas de los recursos Cliente y Factura en Postman</t>
  </si>
  <si>
    <t>Diseño DTO para Recurso Organizador</t>
  </si>
  <si>
    <t>Implementación de los DTOs y del recurso Organizador</t>
  </si>
  <si>
    <t>Implementarlas pruebas de los recursos Organizador en Postman</t>
  </si>
  <si>
    <t>Implementación de los DTOs y del recurso Concurso</t>
  </si>
  <si>
    <t>Implementarlas pruebas de los recursos Concurso en Postman</t>
  </si>
  <si>
    <t>Implementación de los DTOs y del recurso Jurado y Calificacion</t>
  </si>
  <si>
    <t>Implementarlas pruebas de los recursos Jurado y Calificacion en Postman</t>
  </si>
  <si>
    <t>Documentar Sevicios Recurso Usuario y Fotografo</t>
  </si>
  <si>
    <t>Documentar Sevicios Recurso Foto</t>
  </si>
  <si>
    <t>Documentar Sevicios Recurso Cliente y Factura</t>
  </si>
  <si>
    <t>Documentar Sevicios Recurso Organizador</t>
  </si>
  <si>
    <t>Melendez Nova</t>
  </si>
  <si>
    <t>Nicolas Guillermo</t>
  </si>
  <si>
    <t>Documentar Sevicios Recurso Concurso</t>
  </si>
  <si>
    <t>Diseño DTO para Recurso Concurso</t>
  </si>
  <si>
    <t>Documentar Sevicios Recurso Jurado y Calificacion</t>
  </si>
  <si>
    <t>Diseño DTO para Recurso Jurado y Calificacion</t>
  </si>
  <si>
    <t>Implementarlas pruebas de los recursos InteresFotografico, Usuario y Fotografo en Postman</t>
  </si>
  <si>
    <t xml:space="preserve"> .</t>
  </si>
  <si>
    <t>5.1 Tiempo estimado[h:mm]</t>
  </si>
  <si>
    <t>5.2 Tiempo registrado[h:mm]</t>
  </si>
  <si>
    <t>C1_S4</t>
  </si>
  <si>
    <t>Revisar Resultados Jenkis y Corregir</t>
  </si>
  <si>
    <t>Implementar Entidades y Persistencia recursos Concurso</t>
  </si>
  <si>
    <t>Implementar Pruebas Persistencia recursos Concurso</t>
  </si>
  <si>
    <t>Diagrama Entidades JPA Individual</t>
  </si>
  <si>
    <t>Planear tareas faltantes para terminar la implementación servicios y recursos. Cada tarea debe tener claro qué es loque se va a hacer, cuál es el tiempo estimado y quién es el responsable.</t>
  </si>
  <si>
    <t>Estudiar JPA</t>
  </si>
  <si>
    <t>Reunión de Seguimiento: TODOS</t>
  </si>
  <si>
    <t>Consolidar Modelo Entidades</t>
  </si>
  <si>
    <t>Implementar Entidades y Persistencia recursos Usuario, Fotografo e Intereses Fotográficos</t>
  </si>
  <si>
    <t>Implementar Pruebas Persistencia recursos Usuario y Fotografo</t>
  </si>
  <si>
    <t>Implementar Entidades y Persistencia recursos Foto</t>
  </si>
  <si>
    <t>Implementar Pruebas Persistencia recursos Foto</t>
  </si>
  <si>
    <t>Actualizar el plan semana 4 (Lo sube el líder pero participan TODOS)</t>
  </si>
  <si>
    <t>Implementar Entidades y Persistencia recursos Cliente, Factura y Forma De Pago</t>
  </si>
  <si>
    <t>Implementar Pruebas Persistencia recursos Cliente, Factura y Forma de Pago</t>
  </si>
  <si>
    <t>Actualizar y subir plan S5 con la distribución de los recursos</t>
  </si>
  <si>
    <t>Implementar Entidades y Persistencia recursos Organizador y Ronda</t>
  </si>
  <si>
    <t>Implementar Pruebas Persistencia recursos Organizador y Ronda</t>
  </si>
  <si>
    <t>Implementar Entidades y Persistencia recursos Jurado y Calificacion</t>
  </si>
  <si>
    <t>Implementar Pruebas Persistencia recursos Jurado y Calificacion</t>
  </si>
  <si>
    <t>C1_S5</t>
  </si>
  <si>
    <t>Implementar Lógica y pruebas de los recursos Foto y Tag</t>
  </si>
  <si>
    <t>Estudiar sobre la implementación de la lógica</t>
  </si>
  <si>
    <t>Definición Reglas de Negocio Individual</t>
  </si>
  <si>
    <t>Implementar Lógica y pruebas de los recursos Concurso</t>
  </si>
  <si>
    <t>Consolidar JPA y subir el notebook a teamwork</t>
  </si>
  <si>
    <t>Consolidar Definición Reglas de Negocio</t>
  </si>
  <si>
    <t>Implementar Lógica y pruebas de los recursos Fotógrafo y Intereses fotográficos</t>
  </si>
  <si>
    <t>Actualizar el plan semana 5 (Lo sube el líder pero participan TODOS)</t>
  </si>
  <si>
    <t>Implementar Lógica y pruebas de los recursos Cliente, Factura y FormaDePago</t>
  </si>
  <si>
    <t>Implementar Lógica y pruebas de los recursos Organizador y Ronda</t>
  </si>
  <si>
    <t>Implementar Lógica y pruebas de los recursos Jurado y Calificacion</t>
  </si>
  <si>
    <t>C1_S6</t>
  </si>
  <si>
    <t>Estudiar Colecciones Postman</t>
  </si>
  <si>
    <t>Implementar Pruebas Postman (colecciones) del recurso Fotografo e Interes Fotografico</t>
  </si>
  <si>
    <t>Completar Implementación del recurso Foto y Tag Con lógica</t>
  </si>
  <si>
    <t>Implementar Pruebas Postman (colecciones) del recurso Foto y Tag</t>
  </si>
  <si>
    <t>Completar Implementación del recurso Cliente, Factura y Forma de Pago Con lógica</t>
  </si>
  <si>
    <t>Implementar Pruebas Postman (colecciones) del recurso Cliente, Factura y Forma de Pago</t>
  </si>
  <si>
    <t>Implementar Pruebas Postman (colecciones) del recurso Organizador y Ronda</t>
  </si>
  <si>
    <t>Completar Implementación del recurso Concurso Con lógica</t>
  </si>
  <si>
    <t>Implementar Pruebas Postman (colecciones) del recurso Concurso</t>
  </si>
  <si>
    <t>Implementar Pruebas Postman (colecciones) del recurso Jurado y Calificacion</t>
  </si>
  <si>
    <t>Completar Implementación del recurso Fotografo e Interes Fotografico Con lógica</t>
  </si>
  <si>
    <t>Actualizar el plan semana 6</t>
  </si>
  <si>
    <t>Completar Implementación del recurso Organizador y Ronda Con lógica</t>
  </si>
  <si>
    <t>Completar Implementación del recurso Jurado y Calificacion Con lógica</t>
  </si>
  <si>
    <t>Total ciclo</t>
  </si>
  <si>
    <t>Planeadas</t>
  </si>
  <si>
    <t>Sin iniciar</t>
  </si>
  <si>
    <t>En progreso</t>
  </si>
  <si>
    <t>Completas</t>
  </si>
  <si>
    <t>Tarde</t>
  </si>
  <si>
    <t>Sin logs</t>
  </si>
  <si>
    <t>Estimado</t>
  </si>
  <si>
    <t>Registrado</t>
  </si>
  <si>
    <t>Estimado [h:mm]</t>
  </si>
  <si>
    <t>Registrado [h:mm]</t>
  </si>
  <si>
    <t>Valores</t>
  </si>
  <si>
    <t>Suma de Planeadas</t>
  </si>
  <si>
    <t>Suma de Sin iniciar</t>
  </si>
  <si>
    <t>Suma de En progreso</t>
  </si>
  <si>
    <t>Suma de Completas</t>
  </si>
  <si>
    <t>Suma de Tarde</t>
  </si>
  <si>
    <t>Suma de Sin logs</t>
  </si>
  <si>
    <t>Suma de Estimado [h:mm]</t>
  </si>
  <si>
    <t>Suma de Registrado [h:mm]</t>
  </si>
  <si>
    <t>Acosta Villegas Sara</t>
  </si>
  <si>
    <t>Rincon Diaz Nicolas</t>
  </si>
  <si>
    <t>Trujillo Agudelo Adriana</t>
  </si>
  <si>
    <t>Benavides Pedroza Dany Alejandro</t>
  </si>
  <si>
    <t>Duarte Benitez Valentina</t>
  </si>
  <si>
    <t>Melendez Nova Nicolas Guillermo</t>
  </si>
  <si>
    <t>Unasigned</t>
  </si>
  <si>
    <t>Nota 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</si>
</sst>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7" x14ac:knownFonts="1">
    <font>
      <sz val="12"/>
      <color theme="1"/>
      <name val="Calibri"/>
      <family val="2"/>
      <scheme val="minor"/>
    </font>
    <font>
      <i/>
      <sz val="11"/>
      <color indexed="9"/>
      <name val="Verdana"/>
      <family val="2"/>
    </font>
    <font>
      <sz val="10"/>
      <name val="Arial"/>
      <family val="2"/>
    </font>
    <font>
      <sz val="12"/>
      <color rgb="FF000000"/>
      <name val="Helvetica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theme="4"/>
      </left>
      <right/>
      <top/>
      <bottom/>
      <diagonal/>
    </border>
    <border>
      <left/>
      <right/>
      <top/>
      <bottom style="medium">
        <color theme="7"/>
      </bottom>
      <diagonal/>
    </border>
    <border>
      <left/>
      <right/>
      <top style="thin">
        <color theme="4" tint="0.79998168889431442"/>
      </top>
      <bottom/>
      <diagonal/>
    </border>
    <border>
      <left style="thin">
        <color theme="4"/>
      </left>
      <right/>
      <top style="thin">
        <color theme="4" tint="0.79998168889431442"/>
      </top>
      <bottom/>
      <diagonal/>
    </border>
    <border>
      <left/>
      <right/>
      <top style="medium">
        <color theme="4" tint="-0.249977111117893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2">
    <xf numFmtId="0" fontId="0" fillId="0" borderId="0" xfId="0"/>
    <xf numFmtId="0" fontId="1" fillId="2" borderId="1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" fontId="0" fillId="0" borderId="0" xfId="0" applyNumberFormat="1"/>
    <xf numFmtId="0" fontId="0" fillId="4" borderId="0" xfId="0" applyFill="1" applyAlignment="1">
      <alignment horizontal="left"/>
    </xf>
    <xf numFmtId="0" fontId="0" fillId="4" borderId="0" xfId="0" applyNumberFormat="1" applyFill="1"/>
    <xf numFmtId="0" fontId="0" fillId="0" borderId="2" xfId="0" applyNumberFormat="1" applyBorder="1"/>
    <xf numFmtId="0" fontId="0" fillId="4" borderId="2" xfId="0" applyNumberFormat="1" applyFill="1" applyBorder="1"/>
    <xf numFmtId="0" fontId="0" fillId="0" borderId="3" xfId="0" applyBorder="1"/>
    <xf numFmtId="20" fontId="0" fillId="0" borderId="0" xfId="0" applyNumberFormat="1"/>
    <xf numFmtId="164" fontId="0" fillId="0" borderId="0" xfId="0" applyNumberFormat="1"/>
    <xf numFmtId="164" fontId="0" fillId="0" borderId="2" xfId="0" applyNumberFormat="1" applyBorder="1"/>
    <xf numFmtId="164" fontId="0" fillId="4" borderId="0" xfId="0" applyNumberFormat="1" applyFill="1"/>
    <xf numFmtId="164" fontId="0" fillId="4" borderId="2" xfId="0" applyNumberFormat="1" applyFill="1" applyBorder="1"/>
    <xf numFmtId="0" fontId="0" fillId="0" borderId="4" xfId="0" applyBorder="1" applyAlignment="1">
      <alignment horizontal="left"/>
    </xf>
    <xf numFmtId="164" fontId="0" fillId="0" borderId="4" xfId="0" applyNumberFormat="1" applyBorder="1"/>
    <xf numFmtId="164" fontId="0" fillId="0" borderId="5" xfId="0" applyNumberFormat="1" applyBorder="1"/>
    <xf numFmtId="0" fontId="0" fillId="0" borderId="0" xfId="0" applyAlignment="1">
      <alignment horizontal="left" indent="1"/>
    </xf>
    <xf numFmtId="9" fontId="0" fillId="0" borderId="0" xfId="1" applyFont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16" fontId="5" fillId="0" borderId="0" xfId="0" applyNumberFormat="1" applyFont="1"/>
    <xf numFmtId="0" fontId="0" fillId="3" borderId="0" xfId="0" applyFill="1" applyAlignment="1">
      <alignment horizontal="center"/>
    </xf>
    <xf numFmtId="2" fontId="0" fillId="0" borderId="0" xfId="0" applyNumberFormat="1"/>
    <xf numFmtId="0" fontId="6" fillId="5" borderId="6" xfId="0" applyFont="1" applyFill="1" applyBorder="1"/>
    <xf numFmtId="2" fontId="0" fillId="6" borderId="0" xfId="0" applyNumberFormat="1" applyFill="1"/>
    <xf numFmtId="2" fontId="0" fillId="0" borderId="0" xfId="0" applyNumberFormat="1" applyFill="1"/>
    <xf numFmtId="0" fontId="0" fillId="0" borderId="0" xfId="0" applyFill="1"/>
  </cellXfs>
  <cellStyles count="2">
    <cellStyle name="Normal" xfId="0" builtinId="0"/>
    <cellStyle name="Porcentaje" xfId="1" builtinId="5"/>
  </cellStyles>
  <dxfs count="34"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left style="thin">
          <color theme="4"/>
        </left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1" formatCode="0"/>
    </dxf>
    <dxf>
      <numFmt numFmtId="1" formatCode="0"/>
    </dxf>
    <dxf>
      <numFmt numFmtId="164" formatCode="[h]:mm"/>
    </dxf>
    <dxf>
      <border>
        <top style="thin">
          <color theme="4" tint="0.79998168889431442"/>
        </top>
      </border>
    </dxf>
    <dxf>
      <border>
        <top style="thin">
          <color theme="4" tint="0.79998168889431442"/>
        </top>
      </border>
    </dxf>
    <dxf>
      <border>
        <left style="thin">
          <color theme="4"/>
        </left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1" formatCode="0"/>
    </dxf>
    <dxf>
      <numFmt numFmtId="1" formatCode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1" formatCode="0"/>
    </dxf>
    <dxf>
      <numFmt numFmtId="1" formatCode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left style="thin">
          <color theme="4"/>
        </left>
      </border>
    </dxf>
    <dxf>
      <border>
        <top style="thin">
          <color theme="4" tint="0.79998168889431442"/>
        </top>
      </border>
    </dxf>
    <dxf>
      <border>
        <top style="thin">
          <color theme="4" tint="0.79998168889431442"/>
        </top>
      </border>
    </dxf>
    <dxf>
      <numFmt numFmtId="164" formatCode="[h]:mm"/>
    </dxf>
    <dxf>
      <numFmt numFmtId="1" formatCode="0"/>
    </dxf>
    <dxf>
      <numFmt numFmtId="1" formatCode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left style="thin">
          <color theme="4"/>
        </left>
      </border>
    </dxf>
    <dxf>
      <numFmt numFmtId="0" formatCode="General"/>
    </dxf>
    <dxf>
      <numFmt numFmtId="0" formatCode="General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7/relationships/slicerCache" Target="slicerCaches/slicerCache7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microsoft.com/office/2007/relationships/slicerCache" Target="slicerCaches/slicerCache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3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[Grupo_2_1.xlsm]Total C2!TablaDinámica7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C2'!$L$3</c:f>
              <c:strCache>
                <c:ptCount val="1"/>
                <c:pt idx="0">
                  <c:v>Suma de Planeadas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C2'!$K$4:$K$8</c:f>
              <c:strCach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</c:strCache>
            </c:strRef>
          </c:cat>
          <c:val>
            <c:numRef>
              <c:f>'Total C2'!$L$4:$L$8</c:f>
              <c:numCache>
                <c:formatCode>General</c:formatCode>
                <c:ptCount val="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29-FD41-B91F-0D54E57BBD92}"/>
            </c:ext>
          </c:extLst>
        </c:ser>
        <c:ser>
          <c:idx val="1"/>
          <c:order val="1"/>
          <c:tx>
            <c:strRef>
              <c:f>'Total C2'!$M$3</c:f>
              <c:strCache>
                <c:ptCount val="1"/>
                <c:pt idx="0">
                  <c:v>Suma de Sin iniciar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C2'!$K$4:$K$8</c:f>
              <c:strCach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</c:strCache>
            </c:strRef>
          </c:cat>
          <c:val>
            <c:numRef>
              <c:f>'Total C2'!$M$4:$M$8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29-FD41-B91F-0D54E57BBD92}"/>
            </c:ext>
          </c:extLst>
        </c:ser>
        <c:ser>
          <c:idx val="2"/>
          <c:order val="2"/>
          <c:tx>
            <c:strRef>
              <c:f>'Total C2'!$N$3</c:f>
              <c:strCache>
                <c:ptCount val="1"/>
                <c:pt idx="0">
                  <c:v>Suma de En progreso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C2'!$K$4:$K$8</c:f>
              <c:strCach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</c:strCache>
            </c:strRef>
          </c:cat>
          <c:val>
            <c:numRef>
              <c:f>'Total C2'!$N$4:$N$8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29-FD41-B91F-0D54E57BBD92}"/>
            </c:ext>
          </c:extLst>
        </c:ser>
        <c:ser>
          <c:idx val="3"/>
          <c:order val="3"/>
          <c:tx>
            <c:strRef>
              <c:f>'Total C2'!$O$3</c:f>
              <c:strCache>
                <c:ptCount val="1"/>
                <c:pt idx="0">
                  <c:v>Suma de Completas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C2'!$K$4:$K$8</c:f>
              <c:strCach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</c:strCache>
            </c:strRef>
          </c:cat>
          <c:val>
            <c:numRef>
              <c:f>'Total C2'!$O$4:$O$8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29-FD41-B91F-0D54E57BBD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50284864"/>
        <c:axId val="450286544"/>
      </c:barChart>
      <c:catAx>
        <c:axId val="45028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50286544"/>
        <c:crosses val="autoZero"/>
        <c:auto val="1"/>
        <c:lblAlgn val="ctr"/>
        <c:lblOffset val="100"/>
        <c:noMultiLvlLbl val="0"/>
      </c:catAx>
      <c:valAx>
        <c:axId val="450286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5028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Total'!$G$4</c:f>
              <c:strCache>
                <c:ptCount val="1"/>
                <c:pt idx="0">
                  <c:v>2. Tareas cerradas</c:v>
                </c:pt>
              </c:strCache>
            </c:strRef>
          </c:tx>
          <c:spPr>
            <a:gradFill>
              <a:gsLst>
                <a:gs pos="0">
                  <a:schemeClr val="accent6"/>
                </a:gs>
                <a:gs pos="100000">
                  <a:schemeClr val="accent6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'Reporte Total'!$G$5:$G$11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Total ciclo</c:v>
                </c:pt>
              </c:strCache>
            </c:strRef>
          </c:cat>
          <c:val>
            <c:numRef>
              <c:f>'Reporte Total'!$H$5:$H$11</c:f>
              <c:numCache>
                <c:formatCode>0%</c:formatCode>
                <c:ptCount val="7"/>
                <c:pt idx="0">
                  <c:v>0.94444444444444442</c:v>
                </c:pt>
                <c:pt idx="1">
                  <c:v>1</c:v>
                </c:pt>
                <c:pt idx="2">
                  <c:v>0.94871794871794868</c:v>
                </c:pt>
                <c:pt idx="3">
                  <c:v>1</c:v>
                </c:pt>
                <c:pt idx="4">
                  <c:v>0.97826086956521741</c:v>
                </c:pt>
                <c:pt idx="5">
                  <c:v>0.5625</c:v>
                </c:pt>
                <c:pt idx="6">
                  <c:v>0.91666666666666663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E8-D449-99ED-B3B9BBA350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087376783"/>
        <c:axId val="2114374703"/>
      </c:barChart>
      <c:catAx>
        <c:axId val="2087376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4374703"/>
        <c:crosses val="autoZero"/>
        <c:auto val="1"/>
        <c:lblAlgn val="ctr"/>
        <c:lblOffset val="100"/>
        <c:noMultiLvlLbl val="0"/>
      </c:catAx>
      <c:valAx>
        <c:axId val="211437470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08737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Total'!$G$19</c:f>
              <c:strCache>
                <c:ptCount val="1"/>
                <c:pt idx="0">
                  <c:v>2. Tareas cerradas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'Reporte Total'!$G$20:$G$26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Total ciclo</c:v>
                </c:pt>
              </c:strCache>
            </c:strRef>
          </c:cat>
          <c:val>
            <c:numRef>
              <c:f>'Reporte Total'!$H$20:$H$26</c:f>
              <c:numCache>
                <c:formatCode>0%</c:formatCode>
                <c:ptCount val="7"/>
                <c:pt idx="0">
                  <c:v>0.83333333333333337</c:v>
                </c:pt>
                <c:pt idx="1">
                  <c:v>0.93939393939393945</c:v>
                </c:pt>
                <c:pt idx="2">
                  <c:v>0.82051282051282048</c:v>
                </c:pt>
                <c:pt idx="3">
                  <c:v>0.89583333333333337</c:v>
                </c:pt>
                <c:pt idx="4">
                  <c:v>0.86956521739130432</c:v>
                </c:pt>
                <c:pt idx="5">
                  <c:v>0.5625</c:v>
                </c:pt>
                <c:pt idx="6">
                  <c:v>0.82870370370370372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AF-CE46-93EC-DB29C8FDC5C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101236847"/>
        <c:axId val="5424464"/>
      </c:barChart>
      <c:catAx>
        <c:axId val="2101236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O"/>
          </a:p>
        </c:txPr>
        <c:crossAx val="5424464"/>
        <c:crosses val="autoZero"/>
        <c:auto val="1"/>
        <c:lblAlgn val="ctr"/>
        <c:lblOffset val="100"/>
        <c:noMultiLvlLbl val="0"/>
      </c:catAx>
      <c:valAx>
        <c:axId val="54244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101236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[Grupo_2_1.xlsm]Reporte Total!TablaDinámica50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Total'!$L$1:$L$2</c:f>
              <c:strCache>
                <c:ptCount val="1"/>
                <c:pt idx="0">
                  <c:v>1. Tareas planeadas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Total'!$K$3:$K$9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Total'!$L$3:$L$9</c:f>
              <c:numCache>
                <c:formatCode>General</c:formatCode>
                <c:ptCount val="6"/>
                <c:pt idx="0">
                  <c:v>18</c:v>
                </c:pt>
                <c:pt idx="1">
                  <c:v>33</c:v>
                </c:pt>
                <c:pt idx="2">
                  <c:v>39</c:v>
                </c:pt>
                <c:pt idx="3">
                  <c:v>48</c:v>
                </c:pt>
                <c:pt idx="4">
                  <c:v>46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F-0446-86AE-4CA90E234DA0}"/>
            </c:ext>
          </c:extLst>
        </c:ser>
        <c:ser>
          <c:idx val="1"/>
          <c:order val="1"/>
          <c:tx>
            <c:strRef>
              <c:f>'Reporte Total'!$M$1:$M$2</c:f>
              <c:strCache>
                <c:ptCount val="1"/>
                <c:pt idx="0">
                  <c:v>2. Tareas cerradas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Total'!$K$3:$K$9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Total'!$M$3:$M$9</c:f>
              <c:numCache>
                <c:formatCode>General</c:formatCode>
                <c:ptCount val="6"/>
                <c:pt idx="0">
                  <c:v>17</c:v>
                </c:pt>
                <c:pt idx="1">
                  <c:v>33</c:v>
                </c:pt>
                <c:pt idx="2">
                  <c:v>37</c:v>
                </c:pt>
                <c:pt idx="3">
                  <c:v>48</c:v>
                </c:pt>
                <c:pt idx="4">
                  <c:v>45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F-0446-86AE-4CA90E234DA0}"/>
            </c:ext>
          </c:extLst>
        </c:ser>
        <c:ser>
          <c:idx val="2"/>
          <c:order val="2"/>
          <c:tx>
            <c:strRef>
              <c:f>'Reporte Total'!$N$1:$N$2</c:f>
              <c:strCache>
                <c:ptCount val="1"/>
                <c:pt idx="0">
                  <c:v>3. Tareas sin iniciar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Total'!$K$3:$K$9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Total'!$N$3:$N$9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9F-0446-86AE-4CA90E234DA0}"/>
            </c:ext>
          </c:extLst>
        </c:ser>
        <c:ser>
          <c:idx val="3"/>
          <c:order val="3"/>
          <c:tx>
            <c:strRef>
              <c:f>'Reporte Total'!$O$1:$O$2</c:f>
              <c:strCache>
                <c:ptCount val="1"/>
                <c:pt idx="0">
                  <c:v>4. Tareas en proceso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Total'!$K$3:$K$9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Total'!$O$3:$O$9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9F-0446-86AE-4CA90E234DA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741246463"/>
        <c:axId val="1741402095"/>
      </c:barChart>
      <c:catAx>
        <c:axId val="1741246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402095"/>
        <c:crosses val="autoZero"/>
        <c:auto val="1"/>
        <c:lblAlgn val="ctr"/>
        <c:lblOffset val="100"/>
        <c:noMultiLvlLbl val="0"/>
      </c:catAx>
      <c:valAx>
        <c:axId val="1741402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24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[Grupo_2_1.xlsm]Reporte Total!TablaDinámica51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Total'!$L$16:$L$17</c:f>
              <c:strCache>
                <c:ptCount val="1"/>
                <c:pt idx="0">
                  <c:v>1. Tareas planeadas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Total'!$K$18:$K$24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Total'!$L$18:$L$24</c:f>
              <c:numCache>
                <c:formatCode>General</c:formatCode>
                <c:ptCount val="6"/>
                <c:pt idx="0">
                  <c:v>18</c:v>
                </c:pt>
                <c:pt idx="1">
                  <c:v>33</c:v>
                </c:pt>
                <c:pt idx="2">
                  <c:v>39</c:v>
                </c:pt>
                <c:pt idx="3">
                  <c:v>48</c:v>
                </c:pt>
                <c:pt idx="4">
                  <c:v>46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83-F64D-8C19-CCEB7DD99F1D}"/>
            </c:ext>
          </c:extLst>
        </c:ser>
        <c:ser>
          <c:idx val="1"/>
          <c:order val="1"/>
          <c:tx>
            <c:strRef>
              <c:f>'Reporte Total'!$M$16:$M$17</c:f>
              <c:strCache>
                <c:ptCount val="1"/>
                <c:pt idx="0">
                  <c:v>2. Tareas cerradas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Total'!$K$18:$K$24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Total'!$M$18:$M$24</c:f>
              <c:numCache>
                <c:formatCode>General</c:formatCode>
                <c:ptCount val="6"/>
                <c:pt idx="0">
                  <c:v>15</c:v>
                </c:pt>
                <c:pt idx="1">
                  <c:v>31</c:v>
                </c:pt>
                <c:pt idx="2">
                  <c:v>32</c:v>
                </c:pt>
                <c:pt idx="3">
                  <c:v>43</c:v>
                </c:pt>
                <c:pt idx="4">
                  <c:v>40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83-F64D-8C19-CCEB7DD99F1D}"/>
            </c:ext>
          </c:extLst>
        </c:ser>
        <c:ser>
          <c:idx val="2"/>
          <c:order val="2"/>
          <c:tx>
            <c:strRef>
              <c:f>'Reporte Total'!$N$16:$N$17</c:f>
              <c:strCache>
                <c:ptCount val="1"/>
                <c:pt idx="0">
                  <c:v>3. Tareas sin iniciar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Total'!$K$18:$K$24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Total'!$N$18:$N$24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83-F64D-8C19-CCEB7DD99F1D}"/>
            </c:ext>
          </c:extLst>
        </c:ser>
        <c:ser>
          <c:idx val="3"/>
          <c:order val="3"/>
          <c:tx>
            <c:strRef>
              <c:f>'Reporte Total'!$O$16:$O$17</c:f>
              <c:strCache>
                <c:ptCount val="1"/>
                <c:pt idx="0">
                  <c:v>4. Tareas en proceso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Total'!$K$18:$K$24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Total'!$O$18:$O$24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83-F64D-8C19-CCEB7DD99F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744397647"/>
        <c:axId val="2117210415"/>
      </c:barChart>
      <c:catAx>
        <c:axId val="1744397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7210415"/>
        <c:crosses val="autoZero"/>
        <c:auto val="1"/>
        <c:lblAlgn val="ctr"/>
        <c:lblOffset val="100"/>
        <c:noMultiLvlLbl val="0"/>
      </c:catAx>
      <c:valAx>
        <c:axId val="2117210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439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12700</xdr:colOff>
      <xdr:row>11</xdr:row>
      <xdr:rowOff>114300</xdr:rowOff>
    </xdr:from>
    <xdr:to>
      <xdr:col>21</xdr:col>
      <xdr:colOff>1841500</xdr:colOff>
      <xdr:row>23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Nombre 3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89100" y="2146300"/>
              <a:ext cx="1828800" cy="2387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12700</xdr:colOff>
      <xdr:row>8</xdr:row>
      <xdr:rowOff>25400</xdr:rowOff>
    </xdr:from>
    <xdr:to>
      <xdr:col>21</xdr:col>
      <xdr:colOff>1841500</xdr:colOff>
      <xdr:row>11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mana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89100" y="1422400"/>
              <a:ext cx="1828800" cy="71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12</xdr:col>
      <xdr:colOff>457200</xdr:colOff>
      <xdr:row>0</xdr:row>
      <xdr:rowOff>114300</xdr:rowOff>
    </xdr:from>
    <xdr:to>
      <xdr:col>14</xdr:col>
      <xdr:colOff>825500</xdr:colOff>
      <xdr:row>4</xdr:row>
      <xdr:rowOff>101600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57200" y="114300"/>
          <a:ext cx="4356100" cy="812800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50800" dist="762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400">
              <a:latin typeface="Impact" charset="0"/>
              <a:ea typeface="Impact" charset="0"/>
              <a:cs typeface="Impact" charset="0"/>
            </a:rPr>
            <a:t>REPORTE DE TAREAS</a:t>
          </a:r>
        </a:p>
      </xdr:txBody>
    </xdr:sp>
    <xdr:clientData/>
  </xdr:twoCellAnchor>
  <xdr:twoCellAnchor>
    <xdr:from>
      <xdr:col>13</xdr:col>
      <xdr:colOff>660400</xdr:colOff>
      <xdr:row>2</xdr:row>
      <xdr:rowOff>114300</xdr:rowOff>
    </xdr:from>
    <xdr:to>
      <xdr:col>13</xdr:col>
      <xdr:colOff>1727200</xdr:colOff>
      <xdr:row>4</xdr:row>
      <xdr:rowOff>38100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0000" y="520700"/>
          <a:ext cx="1066800" cy="3429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200">
              <a:latin typeface="+mj-lt"/>
            </a:rPr>
            <a:t>Generado el:</a:t>
          </a:r>
        </a:p>
      </xdr:txBody>
    </xdr:sp>
    <xdr:clientData/>
  </xdr:twoCellAnchor>
  <xdr:twoCellAnchor>
    <xdr:from>
      <xdr:col>14</xdr:col>
      <xdr:colOff>25400</xdr:colOff>
      <xdr:row>2</xdr:row>
      <xdr:rowOff>114300</xdr:rowOff>
    </xdr:from>
    <xdr:to>
      <xdr:col>14</xdr:col>
      <xdr:colOff>685800</xdr:colOff>
      <xdr:row>4</xdr:row>
      <xdr:rowOff>38100</xdr:rowOff>
    </xdr:to>
    <xdr:sp macro="" textlink="$O$7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13200" y="520700"/>
          <a:ext cx="660400" cy="3429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63CB236-C1E8-344F-BA21-8DD8D2AF9AAA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8-abr</a:t>
          </a:fld>
          <a:endParaRPr lang="es-ES_tradnl" sz="1100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800100</xdr:colOff>
      <xdr:row>19</xdr:row>
      <xdr:rowOff>63500</xdr:rowOff>
    </xdr:from>
    <xdr:to>
      <xdr:col>11</xdr:col>
      <xdr:colOff>508000</xdr:colOff>
      <xdr:row>30</xdr:row>
      <xdr:rowOff>165100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Nombre 4">
              <a:extLst>
                <a:ext uri="{FF2B5EF4-FFF2-40B4-BE49-F238E27FC236}">
                  <a16:creationId xmlns:a16="http://schemas.microsoft.com/office/drawing/2014/main" id="{0D5777BB-5ECE-244C-8068-87F9F28CAE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71300" y="3937000"/>
              <a:ext cx="1828800" cy="233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806450</xdr:colOff>
      <xdr:row>1</xdr:row>
      <xdr:rowOff>209550</xdr:rowOff>
    </xdr:from>
    <xdr:to>
      <xdr:col>15</xdr:col>
      <xdr:colOff>0</xdr:colOff>
      <xdr:row>19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4F01B7-2B2A-3145-BCC2-0B176B2A9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8</xdr:row>
      <xdr:rowOff>101600</xdr:rowOff>
    </xdr:from>
    <xdr:to>
      <xdr:col>11</xdr:col>
      <xdr:colOff>215900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emana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74400" y="2044700"/>
              <a:ext cx="1828800" cy="63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292100</xdr:colOff>
      <xdr:row>2</xdr:row>
      <xdr:rowOff>12700</xdr:rowOff>
    </xdr:from>
    <xdr:to>
      <xdr:col>2</xdr:col>
      <xdr:colOff>381000</xdr:colOff>
      <xdr:row>6</xdr:row>
      <xdr:rowOff>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92100" y="419100"/>
          <a:ext cx="3746500" cy="800100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50800" dist="762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400">
              <a:latin typeface="Impact" charset="0"/>
              <a:ea typeface="Impact" charset="0"/>
              <a:cs typeface="Impact" charset="0"/>
            </a:rPr>
            <a:t>REPORTE DE TAREAS</a:t>
          </a:r>
        </a:p>
      </xdr:txBody>
    </xdr:sp>
    <xdr:clientData/>
  </xdr:twoCellAnchor>
  <xdr:twoCellAnchor>
    <xdr:from>
      <xdr:col>1</xdr:col>
      <xdr:colOff>1244600</xdr:colOff>
      <xdr:row>4</xdr:row>
      <xdr:rowOff>63500</xdr:rowOff>
    </xdr:from>
    <xdr:to>
      <xdr:col>2</xdr:col>
      <xdr:colOff>266700</xdr:colOff>
      <xdr:row>5</xdr:row>
      <xdr:rowOff>190500</xdr:rowOff>
    </xdr:to>
    <xdr:sp macro="" textlink="$C$11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251200" y="876300"/>
          <a:ext cx="673100" cy="3302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9CDC93A-EED9-C84D-9E22-9F5D7C056376}" type="TxLink">
            <a:rPr lang="en-US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25-feb</a:t>
          </a:fld>
          <a:endParaRPr lang="es-ES_tradnl" sz="1100">
            <a:latin typeface="+mj-lt"/>
          </a:endParaRPr>
        </a:p>
      </xdr:txBody>
    </xdr:sp>
    <xdr:clientData/>
  </xdr:twoCellAnchor>
  <xdr:twoCellAnchor>
    <xdr:from>
      <xdr:col>1</xdr:col>
      <xdr:colOff>165100</xdr:colOff>
      <xdr:row>4</xdr:row>
      <xdr:rowOff>63500</xdr:rowOff>
    </xdr:from>
    <xdr:to>
      <xdr:col>1</xdr:col>
      <xdr:colOff>1231900</xdr:colOff>
      <xdr:row>5</xdr:row>
      <xdr:rowOff>190500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171700" y="876300"/>
          <a:ext cx="1066800" cy="3302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200">
              <a:latin typeface="+mj-lt"/>
            </a:rPr>
            <a:t>Generado el:</a:t>
          </a:r>
        </a:p>
      </xdr:txBody>
    </xdr:sp>
    <xdr:clientData/>
  </xdr:twoCellAnchor>
  <xdr:twoCellAnchor editAs="oneCell">
    <xdr:from>
      <xdr:col>9</xdr:col>
      <xdr:colOff>38100</xdr:colOff>
      <xdr:row>15</xdr:row>
      <xdr:rowOff>50800</xdr:rowOff>
    </xdr:from>
    <xdr:to>
      <xdr:col>11</xdr:col>
      <xdr:colOff>215900</xdr:colOff>
      <xdr:row>44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ombre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74400" y="2692400"/>
              <a:ext cx="1828800" cy="237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2</xdr:row>
          <xdr:rowOff>25400</xdr:rowOff>
        </xdr:from>
        <xdr:to>
          <xdr:col>12</xdr:col>
          <xdr:colOff>203200</xdr:colOff>
          <xdr:row>4</xdr:row>
          <xdr:rowOff>254000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Actualizar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203200</xdr:colOff>
      <xdr:row>2</xdr:row>
      <xdr:rowOff>12700</xdr:rowOff>
    </xdr:from>
    <xdr:to>
      <xdr:col>9</xdr:col>
      <xdr:colOff>381000</xdr:colOff>
      <xdr:row>14</xdr:row>
      <xdr:rowOff>193672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99300" y="4191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12700</xdr:colOff>
      <xdr:row>2</xdr:row>
      <xdr:rowOff>12700</xdr:rowOff>
    </xdr:from>
    <xdr:to>
      <xdr:col>7</xdr:col>
      <xdr:colOff>190500</xdr:colOff>
      <xdr:row>14</xdr:row>
      <xdr:rowOff>193672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ombre 1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4191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12700</xdr:colOff>
      <xdr:row>0</xdr:row>
      <xdr:rowOff>0</xdr:rowOff>
    </xdr:from>
    <xdr:to>
      <xdr:col>5</xdr:col>
      <xdr:colOff>6350</xdr:colOff>
      <xdr:row>15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190500</xdr:colOff>
      <xdr:row>17</xdr:row>
      <xdr:rowOff>25400</xdr:rowOff>
    </xdr:from>
    <xdr:to>
      <xdr:col>9</xdr:col>
      <xdr:colOff>368300</xdr:colOff>
      <xdr:row>30</xdr:row>
      <xdr:rowOff>3172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1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86600" y="34798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12700</xdr:colOff>
      <xdr:row>17</xdr:row>
      <xdr:rowOff>25400</xdr:rowOff>
    </xdr:from>
    <xdr:to>
      <xdr:col>7</xdr:col>
      <xdr:colOff>190500</xdr:colOff>
      <xdr:row>30</xdr:row>
      <xdr:rowOff>3172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ombre 2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34798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0</xdr:row>
      <xdr:rowOff>25400</xdr:rowOff>
    </xdr:from>
    <xdr:to>
      <xdr:col>9</xdr:col>
      <xdr:colOff>381000</xdr:colOff>
      <xdr:row>2</xdr:row>
      <xdr:rowOff>12700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346700" y="25400"/>
          <a:ext cx="3683000" cy="393700"/>
        </a:xfrm>
        <a:prstGeom prst="rect">
          <a:avLst/>
        </a:prstGeom>
        <a:solidFill>
          <a:schemeClr val="lt1"/>
        </a:solidFill>
        <a:ln w="317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800">
              <a:latin typeface="Impact" panose="020B0806030902050204" pitchFamily="34" charset="0"/>
            </a:rPr>
            <a:t>REPORTE SEMANAS</a:t>
          </a:r>
          <a:r>
            <a:rPr lang="es-ES_tradnl" sz="1800" baseline="0">
              <a:latin typeface="Impact" panose="020B0806030902050204" pitchFamily="34" charset="0"/>
            </a:rPr>
            <a:t> CONSOLIDADAS</a:t>
          </a:r>
          <a:endParaRPr lang="es-ES_tradnl" sz="1800">
            <a:latin typeface="Impact" panose="020B0806030902050204" pitchFamily="34" charset="0"/>
          </a:endParaRPr>
        </a:p>
      </xdr:txBody>
    </xdr:sp>
    <xdr:clientData/>
  </xdr:twoCellAnchor>
  <xdr:twoCellAnchor>
    <xdr:from>
      <xdr:col>5</xdr:col>
      <xdr:colOff>12700</xdr:colOff>
      <xdr:row>15</xdr:row>
      <xdr:rowOff>25400</xdr:rowOff>
    </xdr:from>
    <xdr:to>
      <xdr:col>9</xdr:col>
      <xdr:colOff>368300</xdr:colOff>
      <xdr:row>17</xdr:row>
      <xdr:rowOff>12700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359400" y="3073400"/>
          <a:ext cx="3657600" cy="393700"/>
        </a:xfrm>
        <a:prstGeom prst="rect">
          <a:avLst/>
        </a:prstGeom>
        <a:solidFill>
          <a:schemeClr val="lt1"/>
        </a:solidFill>
        <a:ln w="317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800">
              <a:latin typeface="Impact" panose="020B0806030902050204" pitchFamily="34" charset="0"/>
            </a:rPr>
            <a:t>REPORTE CORTES</a:t>
          </a:r>
          <a:r>
            <a:rPr lang="es-ES_tradnl" sz="1800" baseline="0">
              <a:latin typeface="Impact" panose="020B0806030902050204" pitchFamily="34" charset="0"/>
            </a:rPr>
            <a:t> SEMANALES</a:t>
          </a:r>
          <a:endParaRPr lang="es-ES_tradnl" sz="1800">
            <a:latin typeface="Impact" panose="020B0806030902050204" pitchFamily="34" charset="0"/>
          </a:endParaRPr>
        </a:p>
      </xdr:txBody>
    </xdr:sp>
    <xdr:clientData/>
  </xdr:twoCellAnchor>
  <xdr:twoCellAnchor>
    <xdr:from>
      <xdr:col>0</xdr:col>
      <xdr:colOff>12700</xdr:colOff>
      <xdr:row>15</xdr:row>
      <xdr:rowOff>6350</xdr:rowOff>
    </xdr:from>
    <xdr:to>
      <xdr:col>5</xdr:col>
      <xdr:colOff>6350</xdr:colOff>
      <xdr:row>30</xdr:row>
      <xdr:rowOff>25400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387350</xdr:colOff>
      <xdr:row>0</xdr:row>
      <xdr:rowOff>12700</xdr:rowOff>
    </xdr:from>
    <xdr:to>
      <xdr:col>19</xdr:col>
      <xdr:colOff>1333500</xdr:colOff>
      <xdr:row>14</xdr:row>
      <xdr:rowOff>190500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387350</xdr:colOff>
      <xdr:row>14</xdr:row>
      <xdr:rowOff>196850</xdr:rowOff>
    </xdr:from>
    <xdr:to>
      <xdr:col>19</xdr:col>
      <xdr:colOff>1333500</xdr:colOff>
      <xdr:row>30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63.746239120374" createdVersion="6" refreshedVersion="6" minRefreshableVersion="3" recordCount="57" xr:uid="{C589F76A-19FA-5843-AED9-09CF4CA31ABF}">
  <cacheSource type="worksheet">
    <worksheetSource name="Tabla3"/>
  </cacheSource>
  <cacheFields count="12">
    <cacheField name="Nombre" numFmtId="0">
      <sharedItems containsBlank="1" count="8">
        <s v="Acosta Villegas Sara"/>
        <s v="Rincon Diaz Nicolas"/>
        <s v="Trujillo Agudelo Adriana"/>
        <s v="Benavides Pedroza Dany Alejandro"/>
        <s v="Duarte Benitez Valentina"/>
        <s v="Melendez Nova Nicolas Guillermo"/>
        <s v="Unasigned"/>
        <m u="1"/>
      </sharedItems>
    </cacheField>
    <cacheField name="Planeadas" numFmtId="0">
      <sharedItems containsSemiMixedTypes="0" containsString="0" containsNumber="1" containsInteger="1" minValue="1" maxValue="4"/>
    </cacheField>
    <cacheField name="Sin iniciar" numFmtId="0">
      <sharedItems containsSemiMixedTypes="0" containsString="0" containsNumber="1" containsInteger="1" minValue="0" maxValue="0"/>
    </cacheField>
    <cacheField name="En progreso" numFmtId="0">
      <sharedItems containsSemiMixedTypes="0" containsString="0" containsNumber="1" containsInteger="1" minValue="0" maxValue="4"/>
    </cacheField>
    <cacheField name="Completas" numFmtId="0">
      <sharedItems containsSemiMixedTypes="0" containsString="0" containsNumber="1" containsInteger="1" minValue="0" maxValue="2"/>
    </cacheField>
    <cacheField name="Tarde" numFmtId="0">
      <sharedItems containsSemiMixedTypes="0" containsString="0" containsNumber="1" containsInteger="1" minValue="0" maxValue="1"/>
    </cacheField>
    <cacheField name="Sin logs" numFmtId="0">
      <sharedItems containsSemiMixedTypes="0" containsString="0" containsNumber="1" containsInteger="1" minValue="0" maxValue="2"/>
    </cacheField>
    <cacheField name="Estimado" numFmtId="0">
      <sharedItems containsSemiMixedTypes="0" containsString="0" containsNumber="1" containsInteger="1" minValue="60" maxValue="120"/>
    </cacheField>
    <cacheField name="Registrado" numFmtId="0">
      <sharedItems containsSemiMixedTypes="0" containsString="0" containsNumber="1" containsInteger="1" minValue="0" maxValue="0"/>
    </cacheField>
    <cacheField name="Estimado [h:mm]" numFmtId="0">
      <sharedItems containsSemiMixedTypes="0" containsString="0" containsNumber="1" minValue="4.1666666666666664E-2" maxValue="8.3333333333333329E-2"/>
    </cacheField>
    <cacheField name="Registrado [h:mm]" numFmtId="0">
      <sharedItems containsSemiMixedTypes="0" containsString="0" containsNumber="1" containsInteger="1" minValue="0" maxValue="0"/>
    </cacheField>
    <cacheField name="Semana" numFmtId="0">
      <sharedItems containsSemiMixedTypes="0" containsString="0" containsNumber="1" containsInteger="1" minValue="0" maxValue="11" count="5">
        <n v="8"/>
        <n v="9"/>
        <n v="10"/>
        <n v="11"/>
        <n v="0" u="1"/>
      </sharedItems>
    </cacheField>
  </cacheFields>
  <extLst>
    <ext xmlns:x14="http://schemas.microsoft.com/office/spreadsheetml/2009/9/main" uri="{725AE2AE-9491-48be-B2B4-4EB974FC3084}">
      <x14:pivotCacheDefinition pivotCacheId="202277311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63.746240972221" createdVersion="6" refreshedVersion="6" minRefreshableVersion="3" recordCount="420" xr:uid="{C876380E-0B7F-B64E-8D50-E62E020E71EA}">
  <cacheSource type="worksheet">
    <worksheetSource name="Persona3"/>
  </cacheSource>
  <cacheFields count="4">
    <cacheField name="Tipo" numFmtId="0">
      <sharedItems count="10">
        <s v="1. Tareas planeadas"/>
        <s v="2. Tareas cerradas"/>
        <s v="2.1 Por otros"/>
        <s v="2.2 A tiempo"/>
        <s v="2.3 Tarde"/>
        <s v="2.4 Sin logs"/>
        <s v="3. Tareas sin iniciar"/>
        <s v="4. Tareas en proceso"/>
        <s v="5.1 Tiempo estimado[h:mm]"/>
        <s v="5.2 Tiempo registrado[h:mm]"/>
      </sharedItems>
    </cacheField>
    <cacheField name="Nombre" numFmtId="0">
      <sharedItems count="7">
        <s v="Acosta Villegas S."/>
        <s v="Benavides Pedroza D."/>
        <s v="Duarte Benitez V."/>
        <s v="Melendez Nova N."/>
        <s v="Rincon Diaz N."/>
        <s v="Trujillo Agudelo A."/>
        <s v=" ."/>
      </sharedItems>
    </cacheField>
    <cacheField name="Semana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#" numFmtId="0">
      <sharedItems containsSemiMixedTypes="0" containsDate="1" containsString="0" containsMixedTypes="1" minDate="1899-12-31T00:00:00" maxDate="1899-12-30T00:06:00"/>
    </cacheField>
  </cacheFields>
  <extLst>
    <ext xmlns:x14="http://schemas.microsoft.com/office/spreadsheetml/2009/9/main" uri="{725AE2AE-9491-48be-B2B4-4EB974FC3084}">
      <x14:pivotCacheDefinition pivotCacheId="127345530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63.746242939815" createdVersion="4" refreshedVersion="6" minRefreshableVersion="3" recordCount="420" xr:uid="{00000000-000A-0000-FFFF-FFFF0A000000}">
  <cacheSource type="worksheet">
    <worksheetSource name="Persona"/>
  </cacheSource>
  <cacheFields count="4">
    <cacheField name="Tipo" numFmtId="0">
      <sharedItems count="14">
        <s v="1. Tareas planeadas"/>
        <s v="2. Tareas cerradas"/>
        <s v="2.1 Por otros"/>
        <s v="2.2 A tiempo"/>
        <s v="2.3 Tarde"/>
        <s v="2.4 Sin logs"/>
        <s v="3. Tareas sin iniciar"/>
        <s v="4. Tareas en proceso"/>
        <s v="5.1 Tiempo estimado[h:mm]"/>
        <s v="5.2 Tiempo registrado[h:mm]"/>
        <s v="5.1 Tiempo estimado ind[min]" u="1"/>
        <s v="5.2 Tiempo registrado[min]" u="1"/>
        <s v="5.1 Tiempo estimado[min]" u="1"/>
        <s v="5.2 Tiempo registrado ind[min]" u="1"/>
      </sharedItems>
    </cacheField>
    <cacheField name="Nombre" numFmtId="0">
      <sharedItems count="7">
        <s v="Acosta Villegas S."/>
        <s v="Benavides Pedroza D."/>
        <s v="Duarte Benitez V."/>
        <s v="Melendez Nova N."/>
        <s v="Rincon Diaz N."/>
        <s v="Trujillo Agudelo A."/>
        <s v=" ."/>
      </sharedItems>
    </cacheField>
    <cacheField name="Semana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#" numFmtId="0">
      <sharedItems containsSemiMixedTypes="0" containsDate="1" containsString="0" containsMixedTypes="1" minDate="1899-12-31T00:00:00" maxDate="1899-12-30T00:06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n v="4"/>
    <n v="0"/>
    <n v="4"/>
    <n v="0"/>
    <n v="0"/>
    <n v="0"/>
    <n v="120"/>
    <n v="0"/>
    <n v="8.3333333333333329E-2"/>
    <n v="0"/>
    <x v="0"/>
  </r>
  <r>
    <x v="1"/>
    <n v="4"/>
    <n v="0"/>
    <n v="4"/>
    <n v="0"/>
    <n v="0"/>
    <n v="0"/>
    <n v="120"/>
    <n v="0"/>
    <n v="8.3333333333333329E-2"/>
    <n v="0"/>
    <x v="0"/>
  </r>
  <r>
    <x v="2"/>
    <n v="3"/>
    <n v="0"/>
    <n v="3"/>
    <n v="0"/>
    <n v="0"/>
    <n v="0"/>
    <n v="120"/>
    <n v="0"/>
    <n v="8.3333333333333329E-2"/>
    <n v="0"/>
    <x v="0"/>
  </r>
  <r>
    <x v="3"/>
    <n v="3"/>
    <n v="0"/>
    <n v="1"/>
    <n v="2"/>
    <n v="0"/>
    <n v="2"/>
    <n v="120"/>
    <n v="0"/>
    <n v="8.3333333333333329E-2"/>
    <n v="0"/>
    <x v="0"/>
  </r>
  <r>
    <x v="4"/>
    <n v="3"/>
    <n v="0"/>
    <n v="3"/>
    <n v="0"/>
    <n v="0"/>
    <n v="0"/>
    <n v="120"/>
    <n v="0"/>
    <n v="8.3333333333333329E-2"/>
    <n v="0"/>
    <x v="0"/>
  </r>
  <r>
    <x v="5"/>
    <n v="2"/>
    <n v="0"/>
    <n v="0"/>
    <n v="2"/>
    <n v="0"/>
    <n v="2"/>
    <n v="120"/>
    <n v="0"/>
    <n v="8.3333333333333329E-2"/>
    <n v="0"/>
    <x v="0"/>
  </r>
  <r>
    <x v="0"/>
    <n v="1"/>
    <n v="0"/>
    <n v="1"/>
    <n v="0"/>
    <n v="0"/>
    <n v="0"/>
    <n v="60"/>
    <n v="0"/>
    <n v="4.1666666666666664E-2"/>
    <n v="0"/>
    <x v="0"/>
  </r>
  <r>
    <x v="1"/>
    <n v="1"/>
    <n v="0"/>
    <n v="1"/>
    <n v="0"/>
    <n v="0"/>
    <n v="0"/>
    <n v="60"/>
    <n v="0"/>
    <n v="4.1666666666666664E-2"/>
    <n v="0"/>
    <x v="0"/>
  </r>
  <r>
    <x v="2"/>
    <n v="1"/>
    <n v="0"/>
    <n v="1"/>
    <n v="0"/>
    <n v="0"/>
    <n v="0"/>
    <n v="60"/>
    <n v="0"/>
    <n v="4.1666666666666664E-2"/>
    <n v="0"/>
    <x v="0"/>
  </r>
  <r>
    <x v="3"/>
    <n v="1"/>
    <n v="0"/>
    <n v="0"/>
    <n v="1"/>
    <n v="1"/>
    <n v="0"/>
    <n v="60"/>
    <n v="0"/>
    <n v="4.1666666666666664E-2"/>
    <n v="0"/>
    <x v="0"/>
  </r>
  <r>
    <x v="4"/>
    <n v="1"/>
    <n v="0"/>
    <n v="0"/>
    <n v="1"/>
    <n v="1"/>
    <n v="0"/>
    <n v="60"/>
    <n v="0"/>
    <n v="4.1666666666666664E-2"/>
    <n v="0"/>
    <x v="0"/>
  </r>
  <r>
    <x v="5"/>
    <n v="1"/>
    <n v="0"/>
    <n v="0"/>
    <n v="1"/>
    <n v="1"/>
    <n v="0"/>
    <n v="60"/>
    <n v="0"/>
    <n v="4.1666666666666664E-2"/>
    <n v="0"/>
    <x v="0"/>
  </r>
  <r>
    <x v="6"/>
    <n v="1"/>
    <n v="0"/>
    <n v="0"/>
    <n v="1"/>
    <n v="1"/>
    <n v="0"/>
    <n v="60"/>
    <n v="0"/>
    <n v="4.1666666666666664E-2"/>
    <n v="0"/>
    <x v="0"/>
  </r>
  <r>
    <x v="0"/>
    <n v="1"/>
    <n v="0"/>
    <n v="1"/>
    <n v="0"/>
    <n v="0"/>
    <n v="0"/>
    <n v="60"/>
    <n v="0"/>
    <n v="4.1666666666666664E-2"/>
    <n v="0"/>
    <x v="1"/>
  </r>
  <r>
    <x v="3"/>
    <n v="1"/>
    <n v="0"/>
    <n v="1"/>
    <n v="0"/>
    <n v="0"/>
    <n v="0"/>
    <n v="60"/>
    <n v="0"/>
    <n v="4.1666666666666664E-2"/>
    <n v="0"/>
    <x v="1"/>
  </r>
  <r>
    <x v="4"/>
    <n v="1"/>
    <n v="0"/>
    <n v="1"/>
    <n v="0"/>
    <n v="0"/>
    <n v="0"/>
    <n v="60"/>
    <n v="0"/>
    <n v="4.1666666666666664E-2"/>
    <n v="0"/>
    <x v="1"/>
  </r>
  <r>
    <x v="5"/>
    <n v="1"/>
    <n v="0"/>
    <n v="0"/>
    <n v="1"/>
    <n v="0"/>
    <n v="1"/>
    <n v="60"/>
    <n v="0"/>
    <n v="4.1666666666666664E-2"/>
    <n v="0"/>
    <x v="1"/>
  </r>
  <r>
    <x v="1"/>
    <n v="1"/>
    <n v="0"/>
    <n v="0"/>
    <n v="1"/>
    <n v="1"/>
    <n v="0"/>
    <n v="60"/>
    <n v="0"/>
    <n v="4.1666666666666664E-2"/>
    <n v="0"/>
    <x v="1"/>
  </r>
  <r>
    <x v="2"/>
    <n v="1"/>
    <n v="0"/>
    <n v="1"/>
    <n v="0"/>
    <n v="0"/>
    <n v="0"/>
    <n v="60"/>
    <n v="0"/>
    <n v="4.1666666666666664E-2"/>
    <n v="0"/>
    <x v="1"/>
  </r>
  <r>
    <x v="0"/>
    <n v="1"/>
    <n v="0"/>
    <n v="1"/>
    <n v="0"/>
    <n v="0"/>
    <n v="0"/>
    <n v="120"/>
    <n v="0"/>
    <n v="8.3333333333333329E-2"/>
    <n v="0"/>
    <x v="1"/>
  </r>
  <r>
    <x v="3"/>
    <n v="1"/>
    <n v="0"/>
    <n v="1"/>
    <n v="0"/>
    <n v="0"/>
    <n v="0"/>
    <n v="120"/>
    <n v="0"/>
    <n v="8.3333333333333329E-2"/>
    <n v="0"/>
    <x v="1"/>
  </r>
  <r>
    <x v="4"/>
    <n v="1"/>
    <n v="0"/>
    <n v="1"/>
    <n v="0"/>
    <n v="0"/>
    <n v="0"/>
    <n v="120"/>
    <n v="0"/>
    <n v="8.3333333333333329E-2"/>
    <n v="0"/>
    <x v="1"/>
  </r>
  <r>
    <x v="5"/>
    <n v="1"/>
    <n v="0"/>
    <n v="0"/>
    <n v="1"/>
    <n v="0"/>
    <n v="1"/>
    <n v="120"/>
    <n v="0"/>
    <n v="8.3333333333333329E-2"/>
    <n v="0"/>
    <x v="1"/>
  </r>
  <r>
    <x v="1"/>
    <n v="1"/>
    <n v="0"/>
    <n v="1"/>
    <n v="0"/>
    <n v="0"/>
    <n v="0"/>
    <n v="120"/>
    <n v="0"/>
    <n v="8.3333333333333329E-2"/>
    <n v="0"/>
    <x v="1"/>
  </r>
  <r>
    <x v="2"/>
    <n v="1"/>
    <n v="0"/>
    <n v="1"/>
    <n v="0"/>
    <n v="0"/>
    <n v="0"/>
    <n v="120"/>
    <n v="0"/>
    <n v="8.3333333333333329E-2"/>
    <n v="0"/>
    <x v="1"/>
  </r>
  <r>
    <x v="0"/>
    <n v="1"/>
    <n v="0"/>
    <n v="1"/>
    <n v="0"/>
    <n v="0"/>
    <n v="0"/>
    <n v="60"/>
    <n v="0"/>
    <n v="4.1666666666666664E-2"/>
    <n v="0"/>
    <x v="2"/>
  </r>
  <r>
    <x v="3"/>
    <n v="1"/>
    <n v="0"/>
    <n v="1"/>
    <n v="0"/>
    <n v="0"/>
    <n v="0"/>
    <n v="60"/>
    <n v="0"/>
    <n v="4.1666666666666664E-2"/>
    <n v="0"/>
    <x v="2"/>
  </r>
  <r>
    <x v="4"/>
    <n v="1"/>
    <n v="0"/>
    <n v="0"/>
    <n v="1"/>
    <n v="1"/>
    <n v="0"/>
    <n v="60"/>
    <n v="0"/>
    <n v="4.1666666666666664E-2"/>
    <n v="0"/>
    <x v="2"/>
  </r>
  <r>
    <x v="5"/>
    <n v="1"/>
    <n v="0"/>
    <n v="0"/>
    <n v="1"/>
    <n v="0"/>
    <n v="1"/>
    <n v="60"/>
    <n v="0"/>
    <n v="4.1666666666666664E-2"/>
    <n v="0"/>
    <x v="2"/>
  </r>
  <r>
    <x v="1"/>
    <n v="1"/>
    <n v="0"/>
    <n v="1"/>
    <n v="0"/>
    <n v="0"/>
    <n v="0"/>
    <n v="60"/>
    <n v="0"/>
    <n v="4.1666666666666664E-2"/>
    <n v="0"/>
    <x v="2"/>
  </r>
  <r>
    <x v="2"/>
    <n v="1"/>
    <n v="0"/>
    <n v="1"/>
    <n v="0"/>
    <n v="0"/>
    <n v="0"/>
    <n v="60"/>
    <n v="0"/>
    <n v="4.1666666666666664E-2"/>
    <n v="0"/>
    <x v="2"/>
  </r>
  <r>
    <x v="0"/>
    <n v="1"/>
    <n v="0"/>
    <n v="1"/>
    <n v="0"/>
    <n v="0"/>
    <n v="0"/>
    <n v="120"/>
    <n v="0"/>
    <n v="8.3333333333333329E-2"/>
    <n v="0"/>
    <x v="2"/>
  </r>
  <r>
    <x v="3"/>
    <n v="1"/>
    <n v="0"/>
    <n v="1"/>
    <n v="0"/>
    <n v="0"/>
    <n v="0"/>
    <n v="120"/>
    <n v="0"/>
    <n v="8.3333333333333329E-2"/>
    <n v="0"/>
    <x v="2"/>
  </r>
  <r>
    <x v="4"/>
    <n v="1"/>
    <n v="0"/>
    <n v="1"/>
    <n v="0"/>
    <n v="0"/>
    <n v="0"/>
    <n v="120"/>
    <n v="0"/>
    <n v="8.3333333333333329E-2"/>
    <n v="0"/>
    <x v="2"/>
  </r>
  <r>
    <x v="5"/>
    <n v="1"/>
    <n v="0"/>
    <n v="0"/>
    <n v="1"/>
    <n v="0"/>
    <n v="1"/>
    <n v="120"/>
    <n v="0"/>
    <n v="8.3333333333333329E-2"/>
    <n v="0"/>
    <x v="2"/>
  </r>
  <r>
    <x v="1"/>
    <n v="1"/>
    <n v="0"/>
    <n v="1"/>
    <n v="0"/>
    <n v="0"/>
    <n v="0"/>
    <n v="120"/>
    <n v="0"/>
    <n v="8.3333333333333329E-2"/>
    <n v="0"/>
    <x v="2"/>
  </r>
  <r>
    <x v="2"/>
    <n v="1"/>
    <n v="0"/>
    <n v="1"/>
    <n v="0"/>
    <n v="0"/>
    <n v="0"/>
    <n v="120"/>
    <n v="0"/>
    <n v="8.3333333333333329E-2"/>
    <n v="0"/>
    <x v="2"/>
  </r>
  <r>
    <x v="1"/>
    <n v="1"/>
    <n v="0"/>
    <n v="0"/>
    <n v="1"/>
    <n v="1"/>
    <n v="0"/>
    <n v="120"/>
    <n v="0"/>
    <n v="8.3333333333333329E-2"/>
    <n v="0"/>
    <x v="3"/>
  </r>
  <r>
    <x v="3"/>
    <n v="1"/>
    <n v="0"/>
    <n v="1"/>
    <n v="0"/>
    <n v="0"/>
    <n v="0"/>
    <n v="120"/>
    <n v="0"/>
    <n v="8.3333333333333329E-2"/>
    <n v="0"/>
    <x v="3"/>
  </r>
  <r>
    <x v="0"/>
    <n v="1"/>
    <n v="0"/>
    <n v="1"/>
    <n v="0"/>
    <n v="0"/>
    <n v="0"/>
    <n v="120"/>
    <n v="0"/>
    <n v="8.3333333333333329E-2"/>
    <n v="0"/>
    <x v="3"/>
  </r>
  <r>
    <x v="4"/>
    <n v="1"/>
    <n v="0"/>
    <n v="0"/>
    <n v="1"/>
    <n v="1"/>
    <n v="0"/>
    <n v="120"/>
    <n v="0"/>
    <n v="8.3333333333333329E-2"/>
    <n v="0"/>
    <x v="3"/>
  </r>
  <r>
    <x v="1"/>
    <n v="1"/>
    <n v="0"/>
    <n v="1"/>
    <n v="0"/>
    <n v="0"/>
    <n v="0"/>
    <n v="60"/>
    <n v="0"/>
    <n v="4.1666666666666664E-2"/>
    <n v="0"/>
    <x v="3"/>
  </r>
  <r>
    <x v="3"/>
    <n v="2"/>
    <n v="0"/>
    <n v="2"/>
    <n v="0"/>
    <n v="0"/>
    <n v="0"/>
    <n v="120"/>
    <n v="0"/>
    <n v="8.3333333333333329E-2"/>
    <n v="0"/>
    <x v="3"/>
  </r>
  <r>
    <x v="0"/>
    <n v="1"/>
    <n v="0"/>
    <n v="1"/>
    <n v="0"/>
    <n v="0"/>
    <n v="0"/>
    <n v="120"/>
    <n v="0"/>
    <n v="8.3333333333333329E-2"/>
    <n v="0"/>
    <x v="3"/>
  </r>
  <r>
    <x v="4"/>
    <n v="1"/>
    <n v="0"/>
    <n v="0"/>
    <n v="1"/>
    <n v="1"/>
    <n v="0"/>
    <n v="120"/>
    <n v="0"/>
    <n v="8.3333333333333329E-2"/>
    <n v="0"/>
    <x v="3"/>
  </r>
  <r>
    <x v="0"/>
    <n v="1"/>
    <n v="0"/>
    <n v="1"/>
    <n v="0"/>
    <n v="0"/>
    <n v="0"/>
    <n v="60"/>
    <n v="0"/>
    <n v="4.1666666666666664E-2"/>
    <n v="0"/>
    <x v="3"/>
  </r>
  <r>
    <x v="3"/>
    <n v="1"/>
    <n v="0"/>
    <n v="1"/>
    <n v="0"/>
    <n v="0"/>
    <n v="0"/>
    <n v="60"/>
    <n v="0"/>
    <n v="4.1666666666666664E-2"/>
    <n v="0"/>
    <x v="3"/>
  </r>
  <r>
    <x v="4"/>
    <n v="1"/>
    <n v="0"/>
    <n v="0"/>
    <n v="1"/>
    <n v="0"/>
    <n v="1"/>
    <n v="60"/>
    <n v="0"/>
    <n v="4.1666666666666664E-2"/>
    <n v="0"/>
    <x v="3"/>
  </r>
  <r>
    <x v="5"/>
    <n v="1"/>
    <n v="0"/>
    <n v="0"/>
    <n v="1"/>
    <n v="0"/>
    <n v="1"/>
    <n v="60"/>
    <n v="0"/>
    <n v="4.1666666666666664E-2"/>
    <n v="0"/>
    <x v="3"/>
  </r>
  <r>
    <x v="1"/>
    <n v="1"/>
    <n v="0"/>
    <n v="1"/>
    <n v="0"/>
    <n v="0"/>
    <n v="0"/>
    <n v="60"/>
    <n v="0"/>
    <n v="4.1666666666666664E-2"/>
    <n v="0"/>
    <x v="3"/>
  </r>
  <r>
    <x v="2"/>
    <n v="1"/>
    <n v="0"/>
    <n v="0"/>
    <n v="1"/>
    <n v="0"/>
    <n v="1"/>
    <n v="60"/>
    <n v="0"/>
    <n v="4.1666666666666664E-2"/>
    <n v="0"/>
    <x v="3"/>
  </r>
  <r>
    <x v="0"/>
    <n v="1"/>
    <n v="0"/>
    <n v="1"/>
    <n v="0"/>
    <n v="0"/>
    <n v="0"/>
    <n v="120"/>
    <n v="0"/>
    <n v="8.3333333333333329E-2"/>
    <n v="0"/>
    <x v="3"/>
  </r>
  <r>
    <x v="3"/>
    <n v="1"/>
    <n v="0"/>
    <n v="1"/>
    <n v="0"/>
    <n v="0"/>
    <n v="0"/>
    <n v="120"/>
    <n v="0"/>
    <n v="8.3333333333333329E-2"/>
    <n v="0"/>
    <x v="3"/>
  </r>
  <r>
    <x v="4"/>
    <n v="1"/>
    <n v="0"/>
    <n v="1"/>
    <n v="0"/>
    <n v="0"/>
    <n v="0"/>
    <n v="120"/>
    <n v="0"/>
    <n v="8.3333333333333329E-2"/>
    <n v="0"/>
    <x v="3"/>
  </r>
  <r>
    <x v="5"/>
    <n v="1"/>
    <n v="0"/>
    <n v="1"/>
    <n v="0"/>
    <n v="0"/>
    <n v="0"/>
    <n v="120"/>
    <n v="0"/>
    <n v="8.3333333333333329E-2"/>
    <n v="0"/>
    <x v="3"/>
  </r>
  <r>
    <x v="1"/>
    <n v="1"/>
    <n v="0"/>
    <n v="1"/>
    <n v="0"/>
    <n v="0"/>
    <n v="0"/>
    <n v="120"/>
    <n v="0"/>
    <n v="8.3333333333333329E-2"/>
    <n v="0"/>
    <x v="3"/>
  </r>
  <r>
    <x v="2"/>
    <n v="1"/>
    <n v="0"/>
    <n v="0"/>
    <n v="1"/>
    <n v="0"/>
    <n v="1"/>
    <n v="120"/>
    <n v="0"/>
    <n v="8.3333333333333329E-2"/>
    <n v="0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x v="0"/>
    <x v="0"/>
    <x v="0"/>
    <n v="2"/>
  </r>
  <r>
    <x v="1"/>
    <x v="0"/>
    <x v="0"/>
    <n v="2"/>
  </r>
  <r>
    <x v="2"/>
    <x v="0"/>
    <x v="0"/>
    <n v="0"/>
  </r>
  <r>
    <x v="3"/>
    <x v="0"/>
    <x v="0"/>
    <n v="0"/>
  </r>
  <r>
    <x v="4"/>
    <x v="0"/>
    <x v="0"/>
    <n v="2"/>
  </r>
  <r>
    <x v="5"/>
    <x v="0"/>
    <x v="0"/>
    <n v="0"/>
  </r>
  <r>
    <x v="6"/>
    <x v="0"/>
    <x v="0"/>
    <n v="0"/>
  </r>
  <r>
    <x v="7"/>
    <x v="0"/>
    <x v="0"/>
    <n v="0"/>
  </r>
  <r>
    <x v="8"/>
    <x v="0"/>
    <x v="0"/>
    <d v="1899-12-30T02:00:00"/>
  </r>
  <r>
    <x v="9"/>
    <x v="0"/>
    <x v="0"/>
    <d v="1899-12-30T01:41:00"/>
  </r>
  <r>
    <x v="0"/>
    <x v="1"/>
    <x v="0"/>
    <n v="3"/>
  </r>
  <r>
    <x v="1"/>
    <x v="1"/>
    <x v="0"/>
    <n v="3"/>
  </r>
  <r>
    <x v="2"/>
    <x v="1"/>
    <x v="0"/>
    <n v="0"/>
  </r>
  <r>
    <x v="3"/>
    <x v="1"/>
    <x v="0"/>
    <n v="0"/>
  </r>
  <r>
    <x v="4"/>
    <x v="1"/>
    <x v="0"/>
    <n v="3"/>
  </r>
  <r>
    <x v="5"/>
    <x v="1"/>
    <x v="0"/>
    <n v="3"/>
  </r>
  <r>
    <x v="6"/>
    <x v="1"/>
    <x v="0"/>
    <n v="0"/>
  </r>
  <r>
    <x v="7"/>
    <x v="1"/>
    <x v="0"/>
    <n v="0"/>
  </r>
  <r>
    <x v="8"/>
    <x v="1"/>
    <x v="0"/>
    <d v="1899-12-30T02:20:00"/>
  </r>
  <r>
    <x v="9"/>
    <x v="1"/>
    <x v="0"/>
    <d v="1899-12-30T00:00:00"/>
  </r>
  <r>
    <x v="0"/>
    <x v="2"/>
    <x v="0"/>
    <n v="3"/>
  </r>
  <r>
    <x v="1"/>
    <x v="2"/>
    <x v="0"/>
    <n v="3"/>
  </r>
  <r>
    <x v="2"/>
    <x v="2"/>
    <x v="0"/>
    <n v="0"/>
  </r>
  <r>
    <x v="3"/>
    <x v="2"/>
    <x v="0"/>
    <n v="0"/>
  </r>
  <r>
    <x v="4"/>
    <x v="2"/>
    <x v="0"/>
    <n v="3"/>
  </r>
  <r>
    <x v="5"/>
    <x v="2"/>
    <x v="0"/>
    <n v="3"/>
  </r>
  <r>
    <x v="6"/>
    <x v="2"/>
    <x v="0"/>
    <n v="0"/>
  </r>
  <r>
    <x v="7"/>
    <x v="2"/>
    <x v="0"/>
    <n v="0"/>
  </r>
  <r>
    <x v="8"/>
    <x v="2"/>
    <x v="0"/>
    <d v="1899-12-30T02:20:00"/>
  </r>
  <r>
    <x v="9"/>
    <x v="2"/>
    <x v="0"/>
    <d v="1899-12-30T00:00:00"/>
  </r>
  <r>
    <x v="0"/>
    <x v="3"/>
    <x v="0"/>
    <n v="4"/>
  </r>
  <r>
    <x v="1"/>
    <x v="3"/>
    <x v="0"/>
    <n v="3"/>
  </r>
  <r>
    <x v="2"/>
    <x v="3"/>
    <x v="0"/>
    <n v="0"/>
  </r>
  <r>
    <x v="3"/>
    <x v="3"/>
    <x v="0"/>
    <n v="0"/>
  </r>
  <r>
    <x v="4"/>
    <x v="3"/>
    <x v="0"/>
    <n v="3"/>
  </r>
  <r>
    <x v="5"/>
    <x v="3"/>
    <x v="0"/>
    <n v="0"/>
  </r>
  <r>
    <x v="6"/>
    <x v="3"/>
    <x v="0"/>
    <n v="1"/>
  </r>
  <r>
    <x v="7"/>
    <x v="3"/>
    <x v="0"/>
    <n v="0"/>
  </r>
  <r>
    <x v="8"/>
    <x v="3"/>
    <x v="0"/>
    <d v="1899-12-30T02:40:00"/>
  </r>
  <r>
    <x v="9"/>
    <x v="3"/>
    <x v="0"/>
    <d v="1899-12-30T06:30:00"/>
  </r>
  <r>
    <x v="0"/>
    <x v="4"/>
    <x v="0"/>
    <n v="3"/>
  </r>
  <r>
    <x v="1"/>
    <x v="4"/>
    <x v="0"/>
    <n v="3"/>
  </r>
  <r>
    <x v="2"/>
    <x v="4"/>
    <x v="0"/>
    <n v="0"/>
  </r>
  <r>
    <x v="3"/>
    <x v="4"/>
    <x v="0"/>
    <n v="0"/>
  </r>
  <r>
    <x v="4"/>
    <x v="4"/>
    <x v="0"/>
    <n v="3"/>
  </r>
  <r>
    <x v="5"/>
    <x v="4"/>
    <x v="0"/>
    <n v="3"/>
  </r>
  <r>
    <x v="6"/>
    <x v="4"/>
    <x v="0"/>
    <n v="0"/>
  </r>
  <r>
    <x v="7"/>
    <x v="4"/>
    <x v="0"/>
    <n v="0"/>
  </r>
  <r>
    <x v="8"/>
    <x v="4"/>
    <x v="0"/>
    <d v="1899-12-30T02:20:00"/>
  </r>
  <r>
    <x v="9"/>
    <x v="4"/>
    <x v="0"/>
    <d v="1899-12-30T00:00:00"/>
  </r>
  <r>
    <x v="0"/>
    <x v="5"/>
    <x v="0"/>
    <n v="3"/>
  </r>
  <r>
    <x v="1"/>
    <x v="5"/>
    <x v="0"/>
    <n v="3"/>
  </r>
  <r>
    <x v="2"/>
    <x v="5"/>
    <x v="0"/>
    <n v="0"/>
  </r>
  <r>
    <x v="3"/>
    <x v="5"/>
    <x v="0"/>
    <n v="0"/>
  </r>
  <r>
    <x v="4"/>
    <x v="5"/>
    <x v="0"/>
    <n v="3"/>
  </r>
  <r>
    <x v="5"/>
    <x v="5"/>
    <x v="0"/>
    <n v="0"/>
  </r>
  <r>
    <x v="6"/>
    <x v="5"/>
    <x v="0"/>
    <n v="0"/>
  </r>
  <r>
    <x v="7"/>
    <x v="5"/>
    <x v="0"/>
    <n v="0"/>
  </r>
  <r>
    <x v="8"/>
    <x v="5"/>
    <x v="0"/>
    <d v="1899-12-30T02:20:00"/>
  </r>
  <r>
    <x v="9"/>
    <x v="5"/>
    <x v="0"/>
    <d v="1899-12-30T02:30:00"/>
  </r>
  <r>
    <x v="0"/>
    <x v="6"/>
    <x v="0"/>
    <n v="0"/>
  </r>
  <r>
    <x v="1"/>
    <x v="6"/>
    <x v="0"/>
    <n v="0"/>
  </r>
  <r>
    <x v="2"/>
    <x v="6"/>
    <x v="0"/>
    <n v="0"/>
  </r>
  <r>
    <x v="3"/>
    <x v="6"/>
    <x v="0"/>
    <n v="0"/>
  </r>
  <r>
    <x v="4"/>
    <x v="6"/>
    <x v="0"/>
    <n v="0"/>
  </r>
  <r>
    <x v="5"/>
    <x v="6"/>
    <x v="0"/>
    <n v="0"/>
  </r>
  <r>
    <x v="6"/>
    <x v="6"/>
    <x v="0"/>
    <n v="0"/>
  </r>
  <r>
    <x v="7"/>
    <x v="6"/>
    <x v="0"/>
    <n v="0"/>
  </r>
  <r>
    <x v="8"/>
    <x v="6"/>
    <x v="0"/>
    <d v="1899-12-30T00:00:00"/>
  </r>
  <r>
    <x v="9"/>
    <x v="6"/>
    <x v="0"/>
    <d v="1899-12-30T00:00:00"/>
  </r>
  <r>
    <x v="0"/>
    <x v="0"/>
    <x v="1"/>
    <n v="5"/>
  </r>
  <r>
    <x v="1"/>
    <x v="0"/>
    <x v="1"/>
    <n v="5"/>
  </r>
  <r>
    <x v="2"/>
    <x v="0"/>
    <x v="1"/>
    <n v="0"/>
  </r>
  <r>
    <x v="3"/>
    <x v="0"/>
    <x v="1"/>
    <n v="4"/>
  </r>
  <r>
    <x v="4"/>
    <x v="0"/>
    <x v="1"/>
    <n v="1"/>
  </r>
  <r>
    <x v="5"/>
    <x v="0"/>
    <x v="1"/>
    <n v="0"/>
  </r>
  <r>
    <x v="6"/>
    <x v="0"/>
    <x v="1"/>
    <n v="0"/>
  </r>
  <r>
    <x v="7"/>
    <x v="0"/>
    <x v="1"/>
    <n v="0"/>
  </r>
  <r>
    <x v="8"/>
    <x v="0"/>
    <x v="1"/>
    <d v="1899-12-30T01:39:00"/>
  </r>
  <r>
    <x v="9"/>
    <x v="0"/>
    <x v="1"/>
    <d v="1899-12-30T01:51:00"/>
  </r>
  <r>
    <x v="0"/>
    <x v="1"/>
    <x v="1"/>
    <n v="5"/>
  </r>
  <r>
    <x v="1"/>
    <x v="1"/>
    <x v="1"/>
    <n v="5"/>
  </r>
  <r>
    <x v="2"/>
    <x v="1"/>
    <x v="1"/>
    <n v="0"/>
  </r>
  <r>
    <x v="3"/>
    <x v="1"/>
    <x v="1"/>
    <n v="4"/>
  </r>
  <r>
    <x v="4"/>
    <x v="1"/>
    <x v="1"/>
    <n v="1"/>
  </r>
  <r>
    <x v="5"/>
    <x v="1"/>
    <x v="1"/>
    <n v="2"/>
  </r>
  <r>
    <x v="6"/>
    <x v="1"/>
    <x v="1"/>
    <n v="0"/>
  </r>
  <r>
    <x v="7"/>
    <x v="1"/>
    <x v="1"/>
    <n v="0"/>
  </r>
  <r>
    <x v="8"/>
    <x v="1"/>
    <x v="1"/>
    <d v="1899-12-30T01:39:00"/>
  </r>
  <r>
    <x v="9"/>
    <x v="1"/>
    <x v="1"/>
    <d v="1899-12-30T00:51:00"/>
  </r>
  <r>
    <x v="0"/>
    <x v="2"/>
    <x v="1"/>
    <n v="5"/>
  </r>
  <r>
    <x v="1"/>
    <x v="2"/>
    <x v="1"/>
    <n v="5"/>
  </r>
  <r>
    <x v="2"/>
    <x v="2"/>
    <x v="1"/>
    <n v="0"/>
  </r>
  <r>
    <x v="3"/>
    <x v="2"/>
    <x v="1"/>
    <n v="4"/>
  </r>
  <r>
    <x v="4"/>
    <x v="2"/>
    <x v="1"/>
    <n v="1"/>
  </r>
  <r>
    <x v="5"/>
    <x v="2"/>
    <x v="1"/>
    <n v="0"/>
  </r>
  <r>
    <x v="6"/>
    <x v="2"/>
    <x v="1"/>
    <n v="0"/>
  </r>
  <r>
    <x v="7"/>
    <x v="2"/>
    <x v="1"/>
    <n v="0"/>
  </r>
  <r>
    <x v="8"/>
    <x v="2"/>
    <x v="1"/>
    <d v="1899-12-30T01:39:00"/>
  </r>
  <r>
    <x v="9"/>
    <x v="2"/>
    <x v="1"/>
    <d v="1899-12-30T01:21:00"/>
  </r>
  <r>
    <x v="0"/>
    <x v="3"/>
    <x v="1"/>
    <n v="5"/>
  </r>
  <r>
    <x v="1"/>
    <x v="3"/>
    <x v="1"/>
    <n v="5"/>
  </r>
  <r>
    <x v="2"/>
    <x v="3"/>
    <x v="1"/>
    <n v="0"/>
  </r>
  <r>
    <x v="3"/>
    <x v="3"/>
    <x v="1"/>
    <n v="2"/>
  </r>
  <r>
    <x v="4"/>
    <x v="3"/>
    <x v="1"/>
    <n v="3"/>
  </r>
  <r>
    <x v="5"/>
    <x v="3"/>
    <x v="1"/>
    <n v="0"/>
  </r>
  <r>
    <x v="6"/>
    <x v="3"/>
    <x v="1"/>
    <n v="0"/>
  </r>
  <r>
    <x v="7"/>
    <x v="3"/>
    <x v="1"/>
    <n v="0"/>
  </r>
  <r>
    <x v="8"/>
    <x v="3"/>
    <x v="1"/>
    <d v="1899-12-30T01:39:00"/>
  </r>
  <r>
    <x v="9"/>
    <x v="3"/>
    <x v="1"/>
    <d v="1899-12-30T04:51:00"/>
  </r>
  <r>
    <x v="0"/>
    <x v="4"/>
    <x v="1"/>
    <n v="5"/>
  </r>
  <r>
    <x v="1"/>
    <x v="4"/>
    <x v="1"/>
    <n v="5"/>
  </r>
  <r>
    <x v="2"/>
    <x v="4"/>
    <x v="1"/>
    <n v="0"/>
  </r>
  <r>
    <x v="3"/>
    <x v="4"/>
    <x v="1"/>
    <n v="4"/>
  </r>
  <r>
    <x v="4"/>
    <x v="4"/>
    <x v="1"/>
    <n v="1"/>
  </r>
  <r>
    <x v="5"/>
    <x v="4"/>
    <x v="1"/>
    <n v="2"/>
  </r>
  <r>
    <x v="6"/>
    <x v="4"/>
    <x v="1"/>
    <n v="0"/>
  </r>
  <r>
    <x v="7"/>
    <x v="4"/>
    <x v="1"/>
    <n v="0"/>
  </r>
  <r>
    <x v="8"/>
    <x v="4"/>
    <x v="1"/>
    <d v="1899-12-30T01:39:00"/>
  </r>
  <r>
    <x v="9"/>
    <x v="4"/>
    <x v="1"/>
    <d v="1899-12-30T00:51:00"/>
  </r>
  <r>
    <x v="0"/>
    <x v="5"/>
    <x v="1"/>
    <n v="5"/>
  </r>
  <r>
    <x v="1"/>
    <x v="5"/>
    <x v="1"/>
    <n v="5"/>
  </r>
  <r>
    <x v="2"/>
    <x v="5"/>
    <x v="1"/>
    <n v="0"/>
  </r>
  <r>
    <x v="3"/>
    <x v="5"/>
    <x v="1"/>
    <n v="4"/>
  </r>
  <r>
    <x v="4"/>
    <x v="5"/>
    <x v="1"/>
    <n v="1"/>
  </r>
  <r>
    <x v="5"/>
    <x v="5"/>
    <x v="1"/>
    <n v="1"/>
  </r>
  <r>
    <x v="6"/>
    <x v="5"/>
    <x v="1"/>
    <n v="0"/>
  </r>
  <r>
    <x v="7"/>
    <x v="5"/>
    <x v="1"/>
    <n v="0"/>
  </r>
  <r>
    <x v="8"/>
    <x v="5"/>
    <x v="1"/>
    <d v="1899-12-30T01:39:00"/>
  </r>
  <r>
    <x v="9"/>
    <x v="5"/>
    <x v="1"/>
    <d v="1899-12-30T02:21:00"/>
  </r>
  <r>
    <x v="0"/>
    <x v="6"/>
    <x v="1"/>
    <n v="3"/>
  </r>
  <r>
    <x v="1"/>
    <x v="6"/>
    <x v="1"/>
    <n v="3"/>
  </r>
  <r>
    <x v="2"/>
    <x v="6"/>
    <x v="1"/>
    <n v="0"/>
  </r>
  <r>
    <x v="3"/>
    <x v="6"/>
    <x v="1"/>
    <n v="2"/>
  </r>
  <r>
    <x v="4"/>
    <x v="6"/>
    <x v="1"/>
    <n v="1"/>
  </r>
  <r>
    <x v="5"/>
    <x v="6"/>
    <x v="1"/>
    <n v="0"/>
  </r>
  <r>
    <x v="6"/>
    <x v="6"/>
    <x v="1"/>
    <n v="0"/>
  </r>
  <r>
    <x v="7"/>
    <x v="6"/>
    <x v="1"/>
    <n v="0"/>
  </r>
  <r>
    <x v="8"/>
    <x v="6"/>
    <x v="1"/>
    <d v="1899-12-30T01:09:00"/>
  </r>
  <r>
    <x v="9"/>
    <x v="6"/>
    <x v="1"/>
    <d v="1899-12-30T00:51:00"/>
  </r>
  <r>
    <x v="0"/>
    <x v="0"/>
    <x v="2"/>
    <n v="6"/>
  </r>
  <r>
    <x v="1"/>
    <x v="0"/>
    <x v="2"/>
    <n v="5"/>
  </r>
  <r>
    <x v="2"/>
    <x v="0"/>
    <x v="2"/>
    <n v="0"/>
  </r>
  <r>
    <x v="3"/>
    <x v="0"/>
    <x v="2"/>
    <n v="2"/>
  </r>
  <r>
    <x v="4"/>
    <x v="0"/>
    <x v="2"/>
    <n v="3"/>
  </r>
  <r>
    <x v="5"/>
    <x v="0"/>
    <x v="2"/>
    <n v="0"/>
  </r>
  <r>
    <x v="6"/>
    <x v="0"/>
    <x v="2"/>
    <n v="1"/>
  </r>
  <r>
    <x v="7"/>
    <x v="0"/>
    <x v="2"/>
    <n v="0"/>
  </r>
  <r>
    <x v="8"/>
    <x v="0"/>
    <x v="2"/>
    <d v="1899-12-30T02:57:00"/>
  </r>
  <r>
    <x v="9"/>
    <x v="0"/>
    <x v="2"/>
    <d v="1899-12-30T06:35:00"/>
  </r>
  <r>
    <x v="0"/>
    <x v="1"/>
    <x v="2"/>
    <n v="6"/>
  </r>
  <r>
    <x v="1"/>
    <x v="1"/>
    <x v="2"/>
    <n v="6"/>
  </r>
  <r>
    <x v="2"/>
    <x v="1"/>
    <x v="2"/>
    <n v="0"/>
  </r>
  <r>
    <x v="3"/>
    <x v="1"/>
    <x v="2"/>
    <n v="1"/>
  </r>
  <r>
    <x v="4"/>
    <x v="1"/>
    <x v="2"/>
    <n v="5"/>
  </r>
  <r>
    <x v="5"/>
    <x v="1"/>
    <x v="2"/>
    <n v="0"/>
  </r>
  <r>
    <x v="6"/>
    <x v="1"/>
    <x v="2"/>
    <n v="0"/>
  </r>
  <r>
    <x v="7"/>
    <x v="1"/>
    <x v="2"/>
    <n v="0"/>
  </r>
  <r>
    <x v="8"/>
    <x v="1"/>
    <x v="2"/>
    <d v="1899-12-30T02:57:00"/>
  </r>
  <r>
    <x v="9"/>
    <x v="1"/>
    <x v="2"/>
    <d v="1899-12-30T05:34:00"/>
  </r>
  <r>
    <x v="0"/>
    <x v="2"/>
    <x v="2"/>
    <n v="7"/>
  </r>
  <r>
    <x v="1"/>
    <x v="2"/>
    <x v="2"/>
    <n v="7"/>
  </r>
  <r>
    <x v="2"/>
    <x v="2"/>
    <x v="2"/>
    <n v="0"/>
  </r>
  <r>
    <x v="3"/>
    <x v="2"/>
    <x v="2"/>
    <n v="2"/>
  </r>
  <r>
    <x v="4"/>
    <x v="2"/>
    <x v="2"/>
    <n v="5"/>
  </r>
  <r>
    <x v="5"/>
    <x v="2"/>
    <x v="2"/>
    <n v="0"/>
  </r>
  <r>
    <x v="6"/>
    <x v="2"/>
    <x v="2"/>
    <n v="0"/>
  </r>
  <r>
    <x v="7"/>
    <x v="2"/>
    <x v="2"/>
    <n v="0"/>
  </r>
  <r>
    <x v="8"/>
    <x v="2"/>
    <x v="2"/>
    <d v="1899-12-30T03:27:00"/>
  </r>
  <r>
    <x v="9"/>
    <x v="2"/>
    <x v="2"/>
    <d v="1899-12-30T03:57:00"/>
  </r>
  <r>
    <x v="0"/>
    <x v="3"/>
    <x v="2"/>
    <n v="6"/>
  </r>
  <r>
    <x v="1"/>
    <x v="3"/>
    <x v="2"/>
    <n v="6"/>
  </r>
  <r>
    <x v="2"/>
    <x v="3"/>
    <x v="2"/>
    <n v="0"/>
  </r>
  <r>
    <x v="3"/>
    <x v="3"/>
    <x v="2"/>
    <n v="1"/>
  </r>
  <r>
    <x v="4"/>
    <x v="3"/>
    <x v="2"/>
    <n v="5"/>
  </r>
  <r>
    <x v="5"/>
    <x v="3"/>
    <x v="2"/>
    <n v="0"/>
  </r>
  <r>
    <x v="6"/>
    <x v="3"/>
    <x v="2"/>
    <n v="0"/>
  </r>
  <r>
    <x v="7"/>
    <x v="3"/>
    <x v="2"/>
    <n v="0"/>
  </r>
  <r>
    <x v="8"/>
    <x v="3"/>
    <x v="2"/>
    <d v="1899-12-30T02:57:00"/>
  </r>
  <r>
    <x v="9"/>
    <x v="3"/>
    <x v="2"/>
    <d v="1899-12-30T06:45:00"/>
  </r>
  <r>
    <x v="0"/>
    <x v="4"/>
    <x v="2"/>
    <n v="6"/>
  </r>
  <r>
    <x v="1"/>
    <x v="4"/>
    <x v="2"/>
    <n v="5"/>
  </r>
  <r>
    <x v="2"/>
    <x v="4"/>
    <x v="2"/>
    <n v="0"/>
  </r>
  <r>
    <x v="3"/>
    <x v="4"/>
    <x v="2"/>
    <n v="2"/>
  </r>
  <r>
    <x v="4"/>
    <x v="4"/>
    <x v="2"/>
    <n v="3"/>
  </r>
  <r>
    <x v="5"/>
    <x v="4"/>
    <x v="2"/>
    <n v="2"/>
  </r>
  <r>
    <x v="6"/>
    <x v="4"/>
    <x v="2"/>
    <n v="1"/>
  </r>
  <r>
    <x v="7"/>
    <x v="4"/>
    <x v="2"/>
    <n v="0"/>
  </r>
  <r>
    <x v="8"/>
    <x v="4"/>
    <x v="2"/>
    <d v="1899-12-30T02:57:00"/>
  </r>
  <r>
    <x v="9"/>
    <x v="4"/>
    <x v="2"/>
    <d v="1899-12-30T01:40:00"/>
  </r>
  <r>
    <x v="0"/>
    <x v="5"/>
    <x v="2"/>
    <n v="6"/>
  </r>
  <r>
    <x v="1"/>
    <x v="5"/>
    <x v="2"/>
    <n v="6"/>
  </r>
  <r>
    <x v="2"/>
    <x v="5"/>
    <x v="2"/>
    <n v="0"/>
  </r>
  <r>
    <x v="3"/>
    <x v="5"/>
    <x v="2"/>
    <n v="3"/>
  </r>
  <r>
    <x v="4"/>
    <x v="5"/>
    <x v="2"/>
    <n v="3"/>
  </r>
  <r>
    <x v="5"/>
    <x v="5"/>
    <x v="2"/>
    <n v="0"/>
  </r>
  <r>
    <x v="6"/>
    <x v="5"/>
    <x v="2"/>
    <n v="0"/>
  </r>
  <r>
    <x v="7"/>
    <x v="5"/>
    <x v="2"/>
    <n v="0"/>
  </r>
  <r>
    <x v="8"/>
    <x v="5"/>
    <x v="2"/>
    <d v="1899-12-30T02:57:00"/>
  </r>
  <r>
    <x v="9"/>
    <x v="5"/>
    <x v="2"/>
    <d v="1899-12-30T14:41:00"/>
  </r>
  <r>
    <x v="0"/>
    <x v="6"/>
    <x v="2"/>
    <n v="2"/>
  </r>
  <r>
    <x v="1"/>
    <x v="6"/>
    <x v="2"/>
    <n v="2"/>
  </r>
  <r>
    <x v="2"/>
    <x v="6"/>
    <x v="2"/>
    <n v="0"/>
  </r>
  <r>
    <x v="3"/>
    <x v="6"/>
    <x v="2"/>
    <n v="0"/>
  </r>
  <r>
    <x v="4"/>
    <x v="6"/>
    <x v="2"/>
    <n v="2"/>
  </r>
  <r>
    <x v="5"/>
    <x v="6"/>
    <x v="2"/>
    <n v="0"/>
  </r>
  <r>
    <x v="6"/>
    <x v="6"/>
    <x v="2"/>
    <n v="0"/>
  </r>
  <r>
    <x v="7"/>
    <x v="6"/>
    <x v="2"/>
    <n v="0"/>
  </r>
  <r>
    <x v="8"/>
    <x v="6"/>
    <x v="2"/>
    <d v="1899-12-30T00:07:00"/>
  </r>
  <r>
    <x v="9"/>
    <x v="6"/>
    <x v="2"/>
    <d v="1899-12-30T00:15:00"/>
  </r>
  <r>
    <x v="0"/>
    <x v="0"/>
    <x v="3"/>
    <n v="7"/>
  </r>
  <r>
    <x v="1"/>
    <x v="0"/>
    <x v="3"/>
    <n v="7"/>
  </r>
  <r>
    <x v="2"/>
    <x v="0"/>
    <x v="3"/>
    <n v="0"/>
  </r>
  <r>
    <x v="3"/>
    <x v="0"/>
    <x v="3"/>
    <n v="5"/>
  </r>
  <r>
    <x v="4"/>
    <x v="0"/>
    <x v="3"/>
    <n v="2"/>
  </r>
  <r>
    <x v="5"/>
    <x v="0"/>
    <x v="3"/>
    <n v="1"/>
  </r>
  <r>
    <x v="6"/>
    <x v="0"/>
    <x v="3"/>
    <n v="0"/>
  </r>
  <r>
    <x v="7"/>
    <x v="0"/>
    <x v="3"/>
    <n v="0"/>
  </r>
  <r>
    <x v="8"/>
    <x v="0"/>
    <x v="3"/>
    <d v="1899-12-30T06:11:00"/>
  </r>
  <r>
    <x v="9"/>
    <x v="0"/>
    <x v="3"/>
    <d v="1899-12-30T07:20:00"/>
  </r>
  <r>
    <x v="0"/>
    <x v="1"/>
    <x v="3"/>
    <n v="7"/>
  </r>
  <r>
    <x v="1"/>
    <x v="1"/>
    <x v="3"/>
    <n v="7"/>
  </r>
  <r>
    <x v="2"/>
    <x v="1"/>
    <x v="3"/>
    <n v="0"/>
  </r>
  <r>
    <x v="3"/>
    <x v="1"/>
    <x v="3"/>
    <n v="5"/>
  </r>
  <r>
    <x v="4"/>
    <x v="1"/>
    <x v="3"/>
    <n v="2"/>
  </r>
  <r>
    <x v="5"/>
    <x v="1"/>
    <x v="3"/>
    <n v="0"/>
  </r>
  <r>
    <x v="6"/>
    <x v="1"/>
    <x v="3"/>
    <n v="0"/>
  </r>
  <r>
    <x v="7"/>
    <x v="1"/>
    <x v="3"/>
    <n v="0"/>
  </r>
  <r>
    <x v="8"/>
    <x v="1"/>
    <x v="3"/>
    <d v="1899-12-30T06:11:00"/>
  </r>
  <r>
    <x v="9"/>
    <x v="1"/>
    <x v="3"/>
    <d v="1899-12-30T05:22:00"/>
  </r>
  <r>
    <x v="0"/>
    <x v="2"/>
    <x v="3"/>
    <n v="9"/>
  </r>
  <r>
    <x v="1"/>
    <x v="2"/>
    <x v="3"/>
    <n v="9"/>
  </r>
  <r>
    <x v="2"/>
    <x v="2"/>
    <x v="3"/>
    <n v="0"/>
  </r>
  <r>
    <x v="3"/>
    <x v="2"/>
    <x v="3"/>
    <n v="6"/>
  </r>
  <r>
    <x v="4"/>
    <x v="2"/>
    <x v="3"/>
    <n v="3"/>
  </r>
  <r>
    <x v="5"/>
    <x v="2"/>
    <x v="3"/>
    <n v="0"/>
  </r>
  <r>
    <x v="6"/>
    <x v="2"/>
    <x v="3"/>
    <n v="0"/>
  </r>
  <r>
    <x v="7"/>
    <x v="2"/>
    <x v="3"/>
    <n v="0"/>
  </r>
  <r>
    <x v="8"/>
    <x v="2"/>
    <x v="3"/>
    <d v="1899-12-30T06:41:00"/>
  </r>
  <r>
    <x v="9"/>
    <x v="2"/>
    <x v="3"/>
    <d v="1899-12-30T05:42:00"/>
  </r>
  <r>
    <x v="0"/>
    <x v="3"/>
    <x v="3"/>
    <n v="7"/>
  </r>
  <r>
    <x v="1"/>
    <x v="3"/>
    <x v="3"/>
    <n v="7"/>
  </r>
  <r>
    <x v="2"/>
    <x v="3"/>
    <x v="3"/>
    <n v="0"/>
  </r>
  <r>
    <x v="3"/>
    <x v="3"/>
    <x v="3"/>
    <n v="6"/>
  </r>
  <r>
    <x v="4"/>
    <x v="3"/>
    <x v="3"/>
    <n v="1"/>
  </r>
  <r>
    <x v="5"/>
    <x v="3"/>
    <x v="3"/>
    <n v="0"/>
  </r>
  <r>
    <x v="6"/>
    <x v="3"/>
    <x v="3"/>
    <n v="0"/>
  </r>
  <r>
    <x v="7"/>
    <x v="3"/>
    <x v="3"/>
    <n v="0"/>
  </r>
  <r>
    <x v="8"/>
    <x v="3"/>
    <x v="3"/>
    <d v="1899-12-30T06:11:00"/>
  </r>
  <r>
    <x v="9"/>
    <x v="3"/>
    <x v="3"/>
    <d v="1899-12-30T07:06:00"/>
  </r>
  <r>
    <x v="0"/>
    <x v="4"/>
    <x v="3"/>
    <n v="7"/>
  </r>
  <r>
    <x v="1"/>
    <x v="4"/>
    <x v="3"/>
    <n v="7"/>
  </r>
  <r>
    <x v="2"/>
    <x v="4"/>
    <x v="3"/>
    <n v="0"/>
  </r>
  <r>
    <x v="3"/>
    <x v="4"/>
    <x v="3"/>
    <n v="2"/>
  </r>
  <r>
    <x v="4"/>
    <x v="4"/>
    <x v="3"/>
    <n v="5"/>
  </r>
  <r>
    <x v="5"/>
    <x v="4"/>
    <x v="3"/>
    <n v="2"/>
  </r>
  <r>
    <x v="6"/>
    <x v="4"/>
    <x v="3"/>
    <n v="0"/>
  </r>
  <r>
    <x v="7"/>
    <x v="4"/>
    <x v="3"/>
    <n v="0"/>
  </r>
  <r>
    <x v="8"/>
    <x v="4"/>
    <x v="3"/>
    <d v="1899-12-30T06:11:00"/>
  </r>
  <r>
    <x v="9"/>
    <x v="4"/>
    <x v="3"/>
    <d v="1899-12-30T08:31:00"/>
  </r>
  <r>
    <x v="0"/>
    <x v="5"/>
    <x v="3"/>
    <n v="7"/>
  </r>
  <r>
    <x v="1"/>
    <x v="5"/>
    <x v="3"/>
    <n v="7"/>
  </r>
  <r>
    <x v="2"/>
    <x v="5"/>
    <x v="3"/>
    <n v="0"/>
  </r>
  <r>
    <x v="3"/>
    <x v="5"/>
    <x v="3"/>
    <n v="5"/>
  </r>
  <r>
    <x v="4"/>
    <x v="5"/>
    <x v="3"/>
    <n v="2"/>
  </r>
  <r>
    <x v="5"/>
    <x v="5"/>
    <x v="3"/>
    <n v="0"/>
  </r>
  <r>
    <x v="6"/>
    <x v="5"/>
    <x v="3"/>
    <n v="0"/>
  </r>
  <r>
    <x v="7"/>
    <x v="5"/>
    <x v="3"/>
    <n v="0"/>
  </r>
  <r>
    <x v="8"/>
    <x v="5"/>
    <x v="3"/>
    <d v="1899-12-30T06:11:00"/>
  </r>
  <r>
    <x v="9"/>
    <x v="5"/>
    <x v="3"/>
    <d v="1899-12-30T01:38:00"/>
  </r>
  <r>
    <x v="0"/>
    <x v="6"/>
    <x v="3"/>
    <n v="4"/>
  </r>
  <r>
    <x v="1"/>
    <x v="6"/>
    <x v="3"/>
    <n v="4"/>
  </r>
  <r>
    <x v="2"/>
    <x v="6"/>
    <x v="3"/>
    <n v="2"/>
  </r>
  <r>
    <x v="3"/>
    <x v="6"/>
    <x v="3"/>
    <n v="3"/>
  </r>
  <r>
    <x v="4"/>
    <x v="6"/>
    <x v="3"/>
    <n v="1"/>
  </r>
  <r>
    <x v="5"/>
    <x v="6"/>
    <x v="3"/>
    <n v="0"/>
  </r>
  <r>
    <x v="6"/>
    <x v="6"/>
    <x v="3"/>
    <n v="0"/>
  </r>
  <r>
    <x v="7"/>
    <x v="6"/>
    <x v="3"/>
    <n v="0"/>
  </r>
  <r>
    <x v="8"/>
    <x v="6"/>
    <x v="3"/>
    <d v="1899-12-30T01:11:00"/>
  </r>
  <r>
    <x v="9"/>
    <x v="6"/>
    <x v="3"/>
    <d v="1899-12-30T04:36:00"/>
  </r>
  <r>
    <x v="0"/>
    <x v="0"/>
    <x v="4"/>
    <n v="7"/>
  </r>
  <r>
    <x v="1"/>
    <x v="0"/>
    <x v="4"/>
    <n v="7"/>
  </r>
  <r>
    <x v="2"/>
    <x v="0"/>
    <x v="4"/>
    <n v="0"/>
  </r>
  <r>
    <x v="3"/>
    <x v="0"/>
    <x v="4"/>
    <n v="6"/>
  </r>
  <r>
    <x v="4"/>
    <x v="0"/>
    <x v="4"/>
    <n v="1"/>
  </r>
  <r>
    <x v="5"/>
    <x v="0"/>
    <x v="4"/>
    <n v="0"/>
  </r>
  <r>
    <x v="6"/>
    <x v="0"/>
    <x v="4"/>
    <n v="0"/>
  </r>
  <r>
    <x v="7"/>
    <x v="0"/>
    <x v="4"/>
    <n v="0"/>
  </r>
  <r>
    <x v="8"/>
    <x v="0"/>
    <x v="4"/>
    <d v="1899-12-30T04:14:00"/>
  </r>
  <r>
    <x v="9"/>
    <x v="0"/>
    <x v="4"/>
    <d v="1899-12-30T09:23:00"/>
  </r>
  <r>
    <x v="0"/>
    <x v="1"/>
    <x v="4"/>
    <n v="7"/>
  </r>
  <r>
    <x v="1"/>
    <x v="1"/>
    <x v="4"/>
    <n v="6"/>
  </r>
  <r>
    <x v="2"/>
    <x v="1"/>
    <x v="4"/>
    <n v="0"/>
  </r>
  <r>
    <x v="3"/>
    <x v="1"/>
    <x v="4"/>
    <n v="4"/>
  </r>
  <r>
    <x v="4"/>
    <x v="1"/>
    <x v="4"/>
    <n v="2"/>
  </r>
  <r>
    <x v="5"/>
    <x v="1"/>
    <x v="4"/>
    <n v="0"/>
  </r>
  <r>
    <x v="6"/>
    <x v="1"/>
    <x v="4"/>
    <n v="1"/>
  </r>
  <r>
    <x v="7"/>
    <x v="1"/>
    <x v="4"/>
    <n v="0"/>
  </r>
  <r>
    <x v="8"/>
    <x v="1"/>
    <x v="4"/>
    <d v="1899-12-30T04:14:00"/>
  </r>
  <r>
    <x v="9"/>
    <x v="1"/>
    <x v="4"/>
    <d v="1899-12-30T03:28:00"/>
  </r>
  <r>
    <x v="0"/>
    <x v="2"/>
    <x v="4"/>
    <n v="8"/>
  </r>
  <r>
    <x v="1"/>
    <x v="2"/>
    <x v="4"/>
    <n v="8"/>
  </r>
  <r>
    <x v="2"/>
    <x v="2"/>
    <x v="4"/>
    <n v="0"/>
  </r>
  <r>
    <x v="3"/>
    <x v="2"/>
    <x v="4"/>
    <n v="7"/>
  </r>
  <r>
    <x v="4"/>
    <x v="2"/>
    <x v="4"/>
    <n v="1"/>
  </r>
  <r>
    <x v="5"/>
    <x v="2"/>
    <x v="4"/>
    <n v="0"/>
  </r>
  <r>
    <x v="6"/>
    <x v="2"/>
    <x v="4"/>
    <n v="0"/>
  </r>
  <r>
    <x v="7"/>
    <x v="2"/>
    <x v="4"/>
    <n v="0"/>
  </r>
  <r>
    <x v="8"/>
    <x v="2"/>
    <x v="4"/>
    <d v="1899-12-30T04:44:00"/>
  </r>
  <r>
    <x v="9"/>
    <x v="2"/>
    <x v="4"/>
    <d v="1899-12-30T03:34:00"/>
  </r>
  <r>
    <x v="0"/>
    <x v="3"/>
    <x v="4"/>
    <n v="7"/>
  </r>
  <r>
    <x v="1"/>
    <x v="3"/>
    <x v="4"/>
    <n v="7"/>
  </r>
  <r>
    <x v="2"/>
    <x v="3"/>
    <x v="4"/>
    <n v="0"/>
  </r>
  <r>
    <x v="3"/>
    <x v="3"/>
    <x v="4"/>
    <n v="6"/>
  </r>
  <r>
    <x v="4"/>
    <x v="3"/>
    <x v="4"/>
    <n v="1"/>
  </r>
  <r>
    <x v="5"/>
    <x v="3"/>
    <x v="4"/>
    <n v="0"/>
  </r>
  <r>
    <x v="6"/>
    <x v="3"/>
    <x v="4"/>
    <n v="0"/>
  </r>
  <r>
    <x v="7"/>
    <x v="3"/>
    <x v="4"/>
    <n v="0"/>
  </r>
  <r>
    <x v="8"/>
    <x v="3"/>
    <x v="4"/>
    <d v="1899-12-30T04:14:00"/>
  </r>
  <r>
    <x v="9"/>
    <x v="3"/>
    <x v="4"/>
    <d v="1899-12-30T05:32:00"/>
  </r>
  <r>
    <x v="0"/>
    <x v="4"/>
    <x v="4"/>
    <n v="7"/>
  </r>
  <r>
    <x v="1"/>
    <x v="4"/>
    <x v="4"/>
    <n v="7"/>
  </r>
  <r>
    <x v="2"/>
    <x v="4"/>
    <x v="4"/>
    <n v="0"/>
  </r>
  <r>
    <x v="3"/>
    <x v="4"/>
    <x v="4"/>
    <n v="2"/>
  </r>
  <r>
    <x v="4"/>
    <x v="4"/>
    <x v="4"/>
    <n v="5"/>
  </r>
  <r>
    <x v="5"/>
    <x v="4"/>
    <x v="4"/>
    <n v="0"/>
  </r>
  <r>
    <x v="6"/>
    <x v="4"/>
    <x v="4"/>
    <n v="0"/>
  </r>
  <r>
    <x v="7"/>
    <x v="4"/>
    <x v="4"/>
    <n v="0"/>
  </r>
  <r>
    <x v="8"/>
    <x v="4"/>
    <x v="4"/>
    <d v="1899-12-30T04:14:00"/>
  </r>
  <r>
    <x v="9"/>
    <x v="4"/>
    <x v="4"/>
    <d v="1899-12-30T20:14:00"/>
  </r>
  <r>
    <x v="0"/>
    <x v="5"/>
    <x v="4"/>
    <n v="7"/>
  </r>
  <r>
    <x v="1"/>
    <x v="5"/>
    <x v="4"/>
    <n v="7"/>
  </r>
  <r>
    <x v="2"/>
    <x v="5"/>
    <x v="4"/>
    <n v="0"/>
  </r>
  <r>
    <x v="3"/>
    <x v="5"/>
    <x v="4"/>
    <n v="6"/>
  </r>
  <r>
    <x v="4"/>
    <x v="5"/>
    <x v="4"/>
    <n v="1"/>
  </r>
  <r>
    <x v="5"/>
    <x v="5"/>
    <x v="4"/>
    <n v="0"/>
  </r>
  <r>
    <x v="6"/>
    <x v="5"/>
    <x v="4"/>
    <n v="0"/>
  </r>
  <r>
    <x v="7"/>
    <x v="5"/>
    <x v="4"/>
    <n v="0"/>
  </r>
  <r>
    <x v="8"/>
    <x v="5"/>
    <x v="4"/>
    <d v="1899-12-30T04:14:00"/>
  </r>
  <r>
    <x v="9"/>
    <x v="5"/>
    <x v="4"/>
    <d v="1899-12-30T07:20:00"/>
  </r>
  <r>
    <x v="0"/>
    <x v="6"/>
    <x v="4"/>
    <n v="3"/>
  </r>
  <r>
    <x v="1"/>
    <x v="6"/>
    <x v="4"/>
    <n v="3"/>
  </r>
  <r>
    <x v="2"/>
    <x v="6"/>
    <x v="4"/>
    <n v="0"/>
  </r>
  <r>
    <x v="3"/>
    <x v="6"/>
    <x v="4"/>
    <n v="2"/>
  </r>
  <r>
    <x v="4"/>
    <x v="6"/>
    <x v="4"/>
    <n v="1"/>
  </r>
  <r>
    <x v="5"/>
    <x v="6"/>
    <x v="4"/>
    <n v="0"/>
  </r>
  <r>
    <x v="6"/>
    <x v="6"/>
    <x v="4"/>
    <n v="0"/>
  </r>
  <r>
    <x v="7"/>
    <x v="6"/>
    <x v="4"/>
    <n v="0"/>
  </r>
  <r>
    <x v="8"/>
    <x v="6"/>
    <x v="4"/>
    <d v="1899-12-30T00:14:00"/>
  </r>
  <r>
    <x v="9"/>
    <x v="6"/>
    <x v="4"/>
    <d v="1899-12-30T00:32:00"/>
  </r>
  <r>
    <x v="0"/>
    <x v="0"/>
    <x v="5"/>
    <n v="5"/>
  </r>
  <r>
    <x v="1"/>
    <x v="0"/>
    <x v="5"/>
    <n v="3"/>
  </r>
  <r>
    <x v="2"/>
    <x v="0"/>
    <x v="5"/>
    <n v="0"/>
  </r>
  <r>
    <x v="3"/>
    <x v="0"/>
    <x v="5"/>
    <n v="2"/>
  </r>
  <r>
    <x v="4"/>
    <x v="0"/>
    <x v="5"/>
    <n v="1"/>
  </r>
  <r>
    <x v="5"/>
    <x v="0"/>
    <x v="5"/>
    <n v="0"/>
  </r>
  <r>
    <x v="6"/>
    <x v="0"/>
    <x v="5"/>
    <n v="2"/>
  </r>
  <r>
    <x v="7"/>
    <x v="0"/>
    <x v="5"/>
    <n v="0"/>
  </r>
  <r>
    <x v="8"/>
    <x v="0"/>
    <x v="5"/>
    <d v="1899-12-30T04:36:00"/>
  </r>
  <r>
    <x v="9"/>
    <x v="0"/>
    <x v="5"/>
    <d v="1899-12-30T02:23:00"/>
  </r>
  <r>
    <x v="0"/>
    <x v="1"/>
    <x v="5"/>
    <n v="5"/>
  </r>
  <r>
    <x v="1"/>
    <x v="1"/>
    <x v="5"/>
    <n v="2"/>
  </r>
  <r>
    <x v="2"/>
    <x v="1"/>
    <x v="5"/>
    <n v="0"/>
  </r>
  <r>
    <x v="3"/>
    <x v="1"/>
    <x v="5"/>
    <n v="0"/>
  </r>
  <r>
    <x v="4"/>
    <x v="1"/>
    <x v="5"/>
    <n v="2"/>
  </r>
  <r>
    <x v="5"/>
    <x v="1"/>
    <x v="5"/>
    <n v="0"/>
  </r>
  <r>
    <x v="6"/>
    <x v="1"/>
    <x v="5"/>
    <n v="3"/>
  </r>
  <r>
    <x v="7"/>
    <x v="1"/>
    <x v="5"/>
    <n v="0"/>
  </r>
  <r>
    <x v="8"/>
    <x v="1"/>
    <x v="5"/>
    <d v="1899-12-30T04:36:00"/>
  </r>
  <r>
    <x v="9"/>
    <x v="1"/>
    <x v="5"/>
    <d v="1899-12-30T01:25:00"/>
  </r>
  <r>
    <x v="0"/>
    <x v="2"/>
    <x v="5"/>
    <n v="6"/>
  </r>
  <r>
    <x v="1"/>
    <x v="2"/>
    <x v="5"/>
    <n v="3"/>
  </r>
  <r>
    <x v="2"/>
    <x v="2"/>
    <x v="5"/>
    <n v="0"/>
  </r>
  <r>
    <x v="3"/>
    <x v="2"/>
    <x v="5"/>
    <n v="1"/>
  </r>
  <r>
    <x v="4"/>
    <x v="2"/>
    <x v="5"/>
    <n v="2"/>
  </r>
  <r>
    <x v="5"/>
    <x v="2"/>
    <x v="5"/>
    <n v="0"/>
  </r>
  <r>
    <x v="6"/>
    <x v="2"/>
    <x v="5"/>
    <n v="3"/>
  </r>
  <r>
    <x v="7"/>
    <x v="2"/>
    <x v="5"/>
    <n v="0"/>
  </r>
  <r>
    <x v="8"/>
    <x v="2"/>
    <x v="5"/>
    <d v="1899-12-30T05:36:00"/>
  </r>
  <r>
    <x v="9"/>
    <x v="2"/>
    <x v="5"/>
    <d v="1899-12-30T01:11:00"/>
  </r>
  <r>
    <x v="0"/>
    <x v="3"/>
    <x v="5"/>
    <n v="5"/>
  </r>
  <r>
    <x v="1"/>
    <x v="3"/>
    <x v="5"/>
    <n v="3"/>
  </r>
  <r>
    <x v="2"/>
    <x v="3"/>
    <x v="5"/>
    <n v="0"/>
  </r>
  <r>
    <x v="3"/>
    <x v="3"/>
    <x v="5"/>
    <n v="1"/>
  </r>
  <r>
    <x v="4"/>
    <x v="3"/>
    <x v="5"/>
    <n v="2"/>
  </r>
  <r>
    <x v="5"/>
    <x v="3"/>
    <x v="5"/>
    <n v="0"/>
  </r>
  <r>
    <x v="6"/>
    <x v="3"/>
    <x v="5"/>
    <n v="2"/>
  </r>
  <r>
    <x v="7"/>
    <x v="3"/>
    <x v="5"/>
    <n v="0"/>
  </r>
  <r>
    <x v="8"/>
    <x v="3"/>
    <x v="5"/>
    <d v="1899-12-30T04:36:00"/>
  </r>
  <r>
    <x v="9"/>
    <x v="3"/>
    <x v="5"/>
    <d v="1899-12-30T03:05:00"/>
  </r>
  <r>
    <x v="0"/>
    <x v="4"/>
    <x v="5"/>
    <n v="5"/>
  </r>
  <r>
    <x v="1"/>
    <x v="4"/>
    <x v="5"/>
    <n v="2"/>
  </r>
  <r>
    <x v="2"/>
    <x v="4"/>
    <x v="5"/>
    <n v="0"/>
  </r>
  <r>
    <x v="3"/>
    <x v="4"/>
    <x v="5"/>
    <n v="0"/>
  </r>
  <r>
    <x v="4"/>
    <x v="4"/>
    <x v="5"/>
    <n v="2"/>
  </r>
  <r>
    <x v="5"/>
    <x v="4"/>
    <x v="5"/>
    <n v="1"/>
  </r>
  <r>
    <x v="6"/>
    <x v="4"/>
    <x v="5"/>
    <n v="3"/>
  </r>
  <r>
    <x v="7"/>
    <x v="4"/>
    <x v="5"/>
    <n v="0"/>
  </r>
  <r>
    <x v="8"/>
    <x v="4"/>
    <x v="5"/>
    <d v="1899-12-30T04:36:00"/>
  </r>
  <r>
    <x v="9"/>
    <x v="4"/>
    <x v="5"/>
    <d v="1899-12-30T00:05:00"/>
  </r>
  <r>
    <x v="0"/>
    <x v="5"/>
    <x v="5"/>
    <n v="5"/>
  </r>
  <r>
    <x v="1"/>
    <x v="5"/>
    <x v="5"/>
    <n v="4"/>
  </r>
  <r>
    <x v="2"/>
    <x v="5"/>
    <x v="5"/>
    <n v="0"/>
  </r>
  <r>
    <x v="3"/>
    <x v="5"/>
    <x v="5"/>
    <n v="2"/>
  </r>
  <r>
    <x v="4"/>
    <x v="5"/>
    <x v="5"/>
    <n v="2"/>
  </r>
  <r>
    <x v="5"/>
    <x v="5"/>
    <x v="5"/>
    <n v="0"/>
  </r>
  <r>
    <x v="6"/>
    <x v="5"/>
    <x v="5"/>
    <n v="1"/>
  </r>
  <r>
    <x v="7"/>
    <x v="5"/>
    <x v="5"/>
    <n v="0"/>
  </r>
  <r>
    <x v="8"/>
    <x v="5"/>
    <x v="5"/>
    <d v="1899-12-30T04:36:00"/>
  </r>
  <r>
    <x v="9"/>
    <x v="5"/>
    <x v="5"/>
    <d v="1899-12-30T06:31:00"/>
  </r>
  <r>
    <x v="0"/>
    <x v="6"/>
    <x v="5"/>
    <n v="1"/>
  </r>
  <r>
    <x v="1"/>
    <x v="6"/>
    <x v="5"/>
    <n v="1"/>
  </r>
  <r>
    <x v="2"/>
    <x v="6"/>
    <x v="5"/>
    <n v="0"/>
  </r>
  <r>
    <x v="3"/>
    <x v="6"/>
    <x v="5"/>
    <n v="0"/>
  </r>
  <r>
    <x v="4"/>
    <x v="6"/>
    <x v="5"/>
    <n v="1"/>
  </r>
  <r>
    <x v="5"/>
    <x v="6"/>
    <x v="5"/>
    <n v="0"/>
  </r>
  <r>
    <x v="6"/>
    <x v="6"/>
    <x v="5"/>
    <n v="0"/>
  </r>
  <r>
    <x v="7"/>
    <x v="6"/>
    <x v="5"/>
    <n v="0"/>
  </r>
  <r>
    <x v="8"/>
    <x v="6"/>
    <x v="5"/>
    <d v="1899-12-30T00:06:00"/>
  </r>
  <r>
    <x v="9"/>
    <x v="6"/>
    <x v="5"/>
    <d v="1899-12-30T00:05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x v="0"/>
    <x v="0"/>
    <x v="0"/>
    <n v="3"/>
  </r>
  <r>
    <x v="1"/>
    <x v="0"/>
    <x v="0"/>
    <n v="3"/>
  </r>
  <r>
    <x v="2"/>
    <x v="0"/>
    <x v="0"/>
    <n v="0"/>
  </r>
  <r>
    <x v="3"/>
    <x v="0"/>
    <x v="0"/>
    <n v="0"/>
  </r>
  <r>
    <x v="4"/>
    <x v="0"/>
    <x v="0"/>
    <n v="3"/>
  </r>
  <r>
    <x v="5"/>
    <x v="0"/>
    <x v="0"/>
    <n v="3"/>
  </r>
  <r>
    <x v="6"/>
    <x v="0"/>
    <x v="0"/>
    <n v="0"/>
  </r>
  <r>
    <x v="7"/>
    <x v="0"/>
    <x v="0"/>
    <n v="0"/>
  </r>
  <r>
    <x v="8"/>
    <x v="0"/>
    <x v="0"/>
    <d v="1899-12-30T02:20:00"/>
  </r>
  <r>
    <x v="9"/>
    <x v="0"/>
    <x v="0"/>
    <d v="1899-12-30T00:00:00"/>
  </r>
  <r>
    <x v="0"/>
    <x v="1"/>
    <x v="0"/>
    <n v="3"/>
  </r>
  <r>
    <x v="1"/>
    <x v="1"/>
    <x v="0"/>
    <n v="3"/>
  </r>
  <r>
    <x v="2"/>
    <x v="1"/>
    <x v="0"/>
    <n v="0"/>
  </r>
  <r>
    <x v="3"/>
    <x v="1"/>
    <x v="0"/>
    <n v="0"/>
  </r>
  <r>
    <x v="4"/>
    <x v="1"/>
    <x v="0"/>
    <n v="3"/>
  </r>
  <r>
    <x v="5"/>
    <x v="1"/>
    <x v="0"/>
    <n v="3"/>
  </r>
  <r>
    <x v="6"/>
    <x v="1"/>
    <x v="0"/>
    <n v="0"/>
  </r>
  <r>
    <x v="7"/>
    <x v="1"/>
    <x v="0"/>
    <n v="0"/>
  </r>
  <r>
    <x v="8"/>
    <x v="1"/>
    <x v="0"/>
    <d v="1899-12-30T02:20:00"/>
  </r>
  <r>
    <x v="9"/>
    <x v="1"/>
    <x v="0"/>
    <d v="1899-12-30T00:00:00"/>
  </r>
  <r>
    <x v="0"/>
    <x v="2"/>
    <x v="0"/>
    <n v="3"/>
  </r>
  <r>
    <x v="1"/>
    <x v="2"/>
    <x v="0"/>
    <n v="3"/>
  </r>
  <r>
    <x v="2"/>
    <x v="2"/>
    <x v="0"/>
    <n v="0"/>
  </r>
  <r>
    <x v="3"/>
    <x v="2"/>
    <x v="0"/>
    <n v="0"/>
  </r>
  <r>
    <x v="4"/>
    <x v="2"/>
    <x v="0"/>
    <n v="3"/>
  </r>
  <r>
    <x v="5"/>
    <x v="2"/>
    <x v="0"/>
    <n v="3"/>
  </r>
  <r>
    <x v="6"/>
    <x v="2"/>
    <x v="0"/>
    <n v="0"/>
  </r>
  <r>
    <x v="7"/>
    <x v="2"/>
    <x v="0"/>
    <n v="0"/>
  </r>
  <r>
    <x v="8"/>
    <x v="2"/>
    <x v="0"/>
    <d v="1899-12-30T02:20:00"/>
  </r>
  <r>
    <x v="9"/>
    <x v="2"/>
    <x v="0"/>
    <d v="1899-12-30T00:00:00"/>
  </r>
  <r>
    <x v="0"/>
    <x v="3"/>
    <x v="0"/>
    <n v="3"/>
  </r>
  <r>
    <x v="1"/>
    <x v="3"/>
    <x v="0"/>
    <n v="0"/>
  </r>
  <r>
    <x v="2"/>
    <x v="3"/>
    <x v="0"/>
    <n v="0"/>
  </r>
  <r>
    <x v="3"/>
    <x v="3"/>
    <x v="0"/>
    <n v="0"/>
  </r>
  <r>
    <x v="4"/>
    <x v="3"/>
    <x v="0"/>
    <n v="0"/>
  </r>
  <r>
    <x v="5"/>
    <x v="3"/>
    <x v="0"/>
    <n v="0"/>
  </r>
  <r>
    <x v="6"/>
    <x v="3"/>
    <x v="0"/>
    <n v="3"/>
  </r>
  <r>
    <x v="7"/>
    <x v="3"/>
    <x v="0"/>
    <n v="0"/>
  </r>
  <r>
    <x v="8"/>
    <x v="3"/>
    <x v="0"/>
    <d v="1899-12-30T02:20:00"/>
  </r>
  <r>
    <x v="9"/>
    <x v="3"/>
    <x v="0"/>
    <d v="1899-12-30T00:00:00"/>
  </r>
  <r>
    <x v="0"/>
    <x v="4"/>
    <x v="0"/>
    <n v="3"/>
  </r>
  <r>
    <x v="1"/>
    <x v="4"/>
    <x v="0"/>
    <n v="3"/>
  </r>
  <r>
    <x v="2"/>
    <x v="4"/>
    <x v="0"/>
    <n v="0"/>
  </r>
  <r>
    <x v="3"/>
    <x v="4"/>
    <x v="0"/>
    <n v="0"/>
  </r>
  <r>
    <x v="4"/>
    <x v="4"/>
    <x v="0"/>
    <n v="3"/>
  </r>
  <r>
    <x v="5"/>
    <x v="4"/>
    <x v="0"/>
    <n v="3"/>
  </r>
  <r>
    <x v="6"/>
    <x v="4"/>
    <x v="0"/>
    <n v="0"/>
  </r>
  <r>
    <x v="7"/>
    <x v="4"/>
    <x v="0"/>
    <n v="0"/>
  </r>
  <r>
    <x v="8"/>
    <x v="4"/>
    <x v="0"/>
    <d v="1899-12-30T02:20:00"/>
  </r>
  <r>
    <x v="9"/>
    <x v="4"/>
    <x v="0"/>
    <d v="1899-12-30T00:00:00"/>
  </r>
  <r>
    <x v="0"/>
    <x v="5"/>
    <x v="0"/>
    <n v="3"/>
  </r>
  <r>
    <x v="1"/>
    <x v="5"/>
    <x v="0"/>
    <n v="3"/>
  </r>
  <r>
    <x v="2"/>
    <x v="5"/>
    <x v="0"/>
    <n v="0"/>
  </r>
  <r>
    <x v="3"/>
    <x v="5"/>
    <x v="0"/>
    <n v="0"/>
  </r>
  <r>
    <x v="4"/>
    <x v="5"/>
    <x v="0"/>
    <n v="3"/>
  </r>
  <r>
    <x v="5"/>
    <x v="5"/>
    <x v="0"/>
    <n v="3"/>
  </r>
  <r>
    <x v="6"/>
    <x v="5"/>
    <x v="0"/>
    <n v="0"/>
  </r>
  <r>
    <x v="7"/>
    <x v="5"/>
    <x v="0"/>
    <n v="0"/>
  </r>
  <r>
    <x v="8"/>
    <x v="5"/>
    <x v="0"/>
    <d v="1899-12-30T02:20:00"/>
  </r>
  <r>
    <x v="9"/>
    <x v="5"/>
    <x v="0"/>
    <d v="1899-12-30T00:00:00"/>
  </r>
  <r>
    <x v="0"/>
    <x v="6"/>
    <x v="0"/>
    <n v="0"/>
  </r>
  <r>
    <x v="1"/>
    <x v="6"/>
    <x v="0"/>
    <n v="0"/>
  </r>
  <r>
    <x v="2"/>
    <x v="6"/>
    <x v="0"/>
    <n v="0"/>
  </r>
  <r>
    <x v="3"/>
    <x v="6"/>
    <x v="0"/>
    <n v="0"/>
  </r>
  <r>
    <x v="4"/>
    <x v="6"/>
    <x v="0"/>
    <n v="0"/>
  </r>
  <r>
    <x v="5"/>
    <x v="6"/>
    <x v="0"/>
    <n v="0"/>
  </r>
  <r>
    <x v="6"/>
    <x v="6"/>
    <x v="0"/>
    <n v="0"/>
  </r>
  <r>
    <x v="7"/>
    <x v="6"/>
    <x v="0"/>
    <n v="0"/>
  </r>
  <r>
    <x v="8"/>
    <x v="6"/>
    <x v="0"/>
    <d v="1899-12-30T00:00:00"/>
  </r>
  <r>
    <x v="9"/>
    <x v="6"/>
    <x v="0"/>
    <d v="1899-12-30T00:00:00"/>
  </r>
  <r>
    <x v="0"/>
    <x v="0"/>
    <x v="1"/>
    <n v="5"/>
  </r>
  <r>
    <x v="1"/>
    <x v="0"/>
    <x v="1"/>
    <n v="5"/>
  </r>
  <r>
    <x v="2"/>
    <x v="0"/>
    <x v="1"/>
    <n v="0"/>
  </r>
  <r>
    <x v="3"/>
    <x v="0"/>
    <x v="1"/>
    <n v="5"/>
  </r>
  <r>
    <x v="4"/>
    <x v="0"/>
    <x v="1"/>
    <n v="0"/>
  </r>
  <r>
    <x v="5"/>
    <x v="0"/>
    <x v="1"/>
    <n v="5"/>
  </r>
  <r>
    <x v="6"/>
    <x v="0"/>
    <x v="1"/>
    <n v="0"/>
  </r>
  <r>
    <x v="7"/>
    <x v="0"/>
    <x v="1"/>
    <n v="0"/>
  </r>
  <r>
    <x v="8"/>
    <x v="0"/>
    <x v="1"/>
    <d v="1899-12-30T01:39:00"/>
  </r>
  <r>
    <x v="9"/>
    <x v="0"/>
    <x v="1"/>
    <d v="1899-12-30T00:00:00"/>
  </r>
  <r>
    <x v="0"/>
    <x v="1"/>
    <x v="1"/>
    <n v="5"/>
  </r>
  <r>
    <x v="1"/>
    <x v="1"/>
    <x v="1"/>
    <n v="5"/>
  </r>
  <r>
    <x v="2"/>
    <x v="1"/>
    <x v="1"/>
    <n v="0"/>
  </r>
  <r>
    <x v="3"/>
    <x v="1"/>
    <x v="1"/>
    <n v="5"/>
  </r>
  <r>
    <x v="4"/>
    <x v="1"/>
    <x v="1"/>
    <n v="0"/>
  </r>
  <r>
    <x v="5"/>
    <x v="1"/>
    <x v="1"/>
    <n v="5"/>
  </r>
  <r>
    <x v="6"/>
    <x v="1"/>
    <x v="1"/>
    <n v="0"/>
  </r>
  <r>
    <x v="7"/>
    <x v="1"/>
    <x v="1"/>
    <n v="0"/>
  </r>
  <r>
    <x v="8"/>
    <x v="1"/>
    <x v="1"/>
    <d v="1899-12-30T01:39:00"/>
  </r>
  <r>
    <x v="9"/>
    <x v="1"/>
    <x v="1"/>
    <d v="1899-12-30T00:00:00"/>
  </r>
  <r>
    <x v="0"/>
    <x v="2"/>
    <x v="1"/>
    <n v="5"/>
  </r>
  <r>
    <x v="1"/>
    <x v="2"/>
    <x v="1"/>
    <n v="5"/>
  </r>
  <r>
    <x v="2"/>
    <x v="2"/>
    <x v="1"/>
    <n v="0"/>
  </r>
  <r>
    <x v="3"/>
    <x v="2"/>
    <x v="1"/>
    <n v="5"/>
  </r>
  <r>
    <x v="4"/>
    <x v="2"/>
    <x v="1"/>
    <n v="0"/>
  </r>
  <r>
    <x v="5"/>
    <x v="2"/>
    <x v="1"/>
    <n v="5"/>
  </r>
  <r>
    <x v="6"/>
    <x v="2"/>
    <x v="1"/>
    <n v="0"/>
  </r>
  <r>
    <x v="7"/>
    <x v="2"/>
    <x v="1"/>
    <n v="0"/>
  </r>
  <r>
    <x v="8"/>
    <x v="2"/>
    <x v="1"/>
    <d v="1899-12-30T01:39:00"/>
  </r>
  <r>
    <x v="9"/>
    <x v="2"/>
    <x v="1"/>
    <d v="1899-12-30T00:00:00"/>
  </r>
  <r>
    <x v="0"/>
    <x v="3"/>
    <x v="1"/>
    <n v="5"/>
  </r>
  <r>
    <x v="1"/>
    <x v="3"/>
    <x v="1"/>
    <n v="3"/>
  </r>
  <r>
    <x v="2"/>
    <x v="3"/>
    <x v="1"/>
    <n v="0"/>
  </r>
  <r>
    <x v="3"/>
    <x v="3"/>
    <x v="1"/>
    <n v="3"/>
  </r>
  <r>
    <x v="4"/>
    <x v="3"/>
    <x v="1"/>
    <n v="0"/>
  </r>
  <r>
    <x v="5"/>
    <x v="3"/>
    <x v="1"/>
    <n v="3"/>
  </r>
  <r>
    <x v="6"/>
    <x v="3"/>
    <x v="1"/>
    <n v="2"/>
  </r>
  <r>
    <x v="7"/>
    <x v="3"/>
    <x v="1"/>
    <n v="0"/>
  </r>
  <r>
    <x v="8"/>
    <x v="3"/>
    <x v="1"/>
    <d v="1899-12-30T01:39:00"/>
  </r>
  <r>
    <x v="9"/>
    <x v="3"/>
    <x v="1"/>
    <d v="1899-12-30T00:00:00"/>
  </r>
  <r>
    <x v="0"/>
    <x v="4"/>
    <x v="1"/>
    <n v="5"/>
  </r>
  <r>
    <x v="1"/>
    <x v="4"/>
    <x v="1"/>
    <n v="5"/>
  </r>
  <r>
    <x v="2"/>
    <x v="4"/>
    <x v="1"/>
    <n v="0"/>
  </r>
  <r>
    <x v="3"/>
    <x v="4"/>
    <x v="1"/>
    <n v="5"/>
  </r>
  <r>
    <x v="4"/>
    <x v="4"/>
    <x v="1"/>
    <n v="0"/>
  </r>
  <r>
    <x v="5"/>
    <x v="4"/>
    <x v="1"/>
    <n v="5"/>
  </r>
  <r>
    <x v="6"/>
    <x v="4"/>
    <x v="1"/>
    <n v="0"/>
  </r>
  <r>
    <x v="7"/>
    <x v="4"/>
    <x v="1"/>
    <n v="0"/>
  </r>
  <r>
    <x v="8"/>
    <x v="4"/>
    <x v="1"/>
    <d v="1899-12-30T01:39:00"/>
  </r>
  <r>
    <x v="9"/>
    <x v="4"/>
    <x v="1"/>
    <d v="1899-12-30T00:00:00"/>
  </r>
  <r>
    <x v="0"/>
    <x v="5"/>
    <x v="1"/>
    <n v="5"/>
  </r>
  <r>
    <x v="1"/>
    <x v="5"/>
    <x v="1"/>
    <n v="5"/>
  </r>
  <r>
    <x v="2"/>
    <x v="5"/>
    <x v="1"/>
    <n v="0"/>
  </r>
  <r>
    <x v="3"/>
    <x v="5"/>
    <x v="1"/>
    <n v="5"/>
  </r>
  <r>
    <x v="4"/>
    <x v="5"/>
    <x v="1"/>
    <n v="0"/>
  </r>
  <r>
    <x v="5"/>
    <x v="5"/>
    <x v="1"/>
    <n v="5"/>
  </r>
  <r>
    <x v="6"/>
    <x v="5"/>
    <x v="1"/>
    <n v="0"/>
  </r>
  <r>
    <x v="7"/>
    <x v="5"/>
    <x v="1"/>
    <n v="0"/>
  </r>
  <r>
    <x v="8"/>
    <x v="5"/>
    <x v="1"/>
    <d v="1899-12-30T01:39:00"/>
  </r>
  <r>
    <x v="9"/>
    <x v="5"/>
    <x v="1"/>
    <d v="1899-12-30T00:00:00"/>
  </r>
  <r>
    <x v="0"/>
    <x v="6"/>
    <x v="1"/>
    <n v="3"/>
  </r>
  <r>
    <x v="1"/>
    <x v="6"/>
    <x v="1"/>
    <n v="3"/>
  </r>
  <r>
    <x v="2"/>
    <x v="6"/>
    <x v="1"/>
    <n v="0"/>
  </r>
  <r>
    <x v="3"/>
    <x v="6"/>
    <x v="1"/>
    <n v="3"/>
  </r>
  <r>
    <x v="4"/>
    <x v="6"/>
    <x v="1"/>
    <n v="0"/>
  </r>
  <r>
    <x v="5"/>
    <x v="6"/>
    <x v="1"/>
    <n v="3"/>
  </r>
  <r>
    <x v="6"/>
    <x v="6"/>
    <x v="1"/>
    <n v="0"/>
  </r>
  <r>
    <x v="7"/>
    <x v="6"/>
    <x v="1"/>
    <n v="0"/>
  </r>
  <r>
    <x v="8"/>
    <x v="6"/>
    <x v="1"/>
    <d v="1899-12-30T01:09:00"/>
  </r>
  <r>
    <x v="9"/>
    <x v="6"/>
    <x v="1"/>
    <d v="1899-12-30T00:00:00"/>
  </r>
  <r>
    <x v="0"/>
    <x v="0"/>
    <x v="2"/>
    <n v="6"/>
  </r>
  <r>
    <x v="1"/>
    <x v="0"/>
    <x v="2"/>
    <n v="5"/>
  </r>
  <r>
    <x v="2"/>
    <x v="0"/>
    <x v="2"/>
    <n v="0"/>
  </r>
  <r>
    <x v="3"/>
    <x v="0"/>
    <x v="2"/>
    <n v="2"/>
  </r>
  <r>
    <x v="4"/>
    <x v="0"/>
    <x v="2"/>
    <n v="3"/>
  </r>
  <r>
    <x v="5"/>
    <x v="0"/>
    <x v="2"/>
    <n v="0"/>
  </r>
  <r>
    <x v="6"/>
    <x v="0"/>
    <x v="2"/>
    <n v="1"/>
  </r>
  <r>
    <x v="7"/>
    <x v="0"/>
    <x v="2"/>
    <n v="0"/>
  </r>
  <r>
    <x v="8"/>
    <x v="0"/>
    <x v="2"/>
    <d v="1899-12-30T02:57:00"/>
  </r>
  <r>
    <x v="9"/>
    <x v="0"/>
    <x v="2"/>
    <d v="1899-12-30T06:05:00"/>
  </r>
  <r>
    <x v="0"/>
    <x v="1"/>
    <x v="2"/>
    <n v="6"/>
  </r>
  <r>
    <x v="1"/>
    <x v="1"/>
    <x v="2"/>
    <n v="4"/>
  </r>
  <r>
    <x v="2"/>
    <x v="1"/>
    <x v="2"/>
    <n v="0"/>
  </r>
  <r>
    <x v="3"/>
    <x v="1"/>
    <x v="2"/>
    <n v="1"/>
  </r>
  <r>
    <x v="4"/>
    <x v="1"/>
    <x v="2"/>
    <n v="3"/>
  </r>
  <r>
    <x v="5"/>
    <x v="1"/>
    <x v="2"/>
    <n v="0"/>
  </r>
  <r>
    <x v="6"/>
    <x v="1"/>
    <x v="2"/>
    <n v="2"/>
  </r>
  <r>
    <x v="7"/>
    <x v="1"/>
    <x v="2"/>
    <n v="0"/>
  </r>
  <r>
    <x v="8"/>
    <x v="1"/>
    <x v="2"/>
    <d v="1899-12-30T02:57:00"/>
  </r>
  <r>
    <x v="9"/>
    <x v="1"/>
    <x v="2"/>
    <d v="1899-12-30T03:44:00"/>
  </r>
  <r>
    <x v="0"/>
    <x v="2"/>
    <x v="2"/>
    <n v="7"/>
  </r>
  <r>
    <x v="1"/>
    <x v="2"/>
    <x v="2"/>
    <n v="7"/>
  </r>
  <r>
    <x v="2"/>
    <x v="2"/>
    <x v="2"/>
    <n v="0"/>
  </r>
  <r>
    <x v="3"/>
    <x v="2"/>
    <x v="2"/>
    <n v="2"/>
  </r>
  <r>
    <x v="4"/>
    <x v="2"/>
    <x v="2"/>
    <n v="5"/>
  </r>
  <r>
    <x v="5"/>
    <x v="2"/>
    <x v="2"/>
    <n v="0"/>
  </r>
  <r>
    <x v="6"/>
    <x v="2"/>
    <x v="2"/>
    <n v="0"/>
  </r>
  <r>
    <x v="7"/>
    <x v="2"/>
    <x v="2"/>
    <n v="0"/>
  </r>
  <r>
    <x v="8"/>
    <x v="2"/>
    <x v="2"/>
    <d v="1899-12-30T03:27:00"/>
  </r>
  <r>
    <x v="9"/>
    <x v="2"/>
    <x v="2"/>
    <d v="1899-12-30T03:57:00"/>
  </r>
  <r>
    <x v="0"/>
    <x v="3"/>
    <x v="2"/>
    <n v="6"/>
  </r>
  <r>
    <x v="1"/>
    <x v="3"/>
    <x v="2"/>
    <n v="4"/>
  </r>
  <r>
    <x v="2"/>
    <x v="3"/>
    <x v="2"/>
    <n v="0"/>
  </r>
  <r>
    <x v="3"/>
    <x v="3"/>
    <x v="2"/>
    <n v="1"/>
  </r>
  <r>
    <x v="4"/>
    <x v="3"/>
    <x v="2"/>
    <n v="3"/>
  </r>
  <r>
    <x v="5"/>
    <x v="3"/>
    <x v="2"/>
    <n v="0"/>
  </r>
  <r>
    <x v="6"/>
    <x v="3"/>
    <x v="2"/>
    <n v="2"/>
  </r>
  <r>
    <x v="7"/>
    <x v="3"/>
    <x v="2"/>
    <n v="0"/>
  </r>
  <r>
    <x v="8"/>
    <x v="3"/>
    <x v="2"/>
    <d v="1899-12-30T02:57:00"/>
  </r>
  <r>
    <x v="9"/>
    <x v="3"/>
    <x v="2"/>
    <d v="1899-12-30T01:15:00"/>
  </r>
  <r>
    <x v="0"/>
    <x v="4"/>
    <x v="2"/>
    <n v="6"/>
  </r>
  <r>
    <x v="1"/>
    <x v="4"/>
    <x v="2"/>
    <n v="5"/>
  </r>
  <r>
    <x v="2"/>
    <x v="4"/>
    <x v="2"/>
    <n v="0"/>
  </r>
  <r>
    <x v="3"/>
    <x v="4"/>
    <x v="2"/>
    <n v="2"/>
  </r>
  <r>
    <x v="4"/>
    <x v="4"/>
    <x v="2"/>
    <n v="3"/>
  </r>
  <r>
    <x v="5"/>
    <x v="4"/>
    <x v="2"/>
    <n v="2"/>
  </r>
  <r>
    <x v="6"/>
    <x v="4"/>
    <x v="2"/>
    <n v="1"/>
  </r>
  <r>
    <x v="7"/>
    <x v="4"/>
    <x v="2"/>
    <n v="0"/>
  </r>
  <r>
    <x v="8"/>
    <x v="4"/>
    <x v="2"/>
    <d v="1899-12-30T02:57:00"/>
  </r>
  <r>
    <x v="9"/>
    <x v="4"/>
    <x v="2"/>
    <d v="1899-12-30T01:10:00"/>
  </r>
  <r>
    <x v="0"/>
    <x v="5"/>
    <x v="2"/>
    <n v="6"/>
  </r>
  <r>
    <x v="1"/>
    <x v="5"/>
    <x v="2"/>
    <n v="5"/>
  </r>
  <r>
    <x v="2"/>
    <x v="5"/>
    <x v="2"/>
    <n v="0"/>
  </r>
  <r>
    <x v="3"/>
    <x v="5"/>
    <x v="2"/>
    <n v="3"/>
  </r>
  <r>
    <x v="4"/>
    <x v="5"/>
    <x v="2"/>
    <n v="2"/>
  </r>
  <r>
    <x v="5"/>
    <x v="5"/>
    <x v="2"/>
    <n v="0"/>
  </r>
  <r>
    <x v="6"/>
    <x v="5"/>
    <x v="2"/>
    <n v="1"/>
  </r>
  <r>
    <x v="7"/>
    <x v="5"/>
    <x v="2"/>
    <n v="0"/>
  </r>
  <r>
    <x v="8"/>
    <x v="5"/>
    <x v="2"/>
    <d v="1899-12-30T02:57:00"/>
  </r>
  <r>
    <x v="9"/>
    <x v="5"/>
    <x v="2"/>
    <d v="1899-12-30T07:13:00"/>
  </r>
  <r>
    <x v="0"/>
    <x v="6"/>
    <x v="2"/>
    <n v="2"/>
  </r>
  <r>
    <x v="1"/>
    <x v="6"/>
    <x v="2"/>
    <n v="2"/>
  </r>
  <r>
    <x v="2"/>
    <x v="6"/>
    <x v="2"/>
    <n v="0"/>
  </r>
  <r>
    <x v="3"/>
    <x v="6"/>
    <x v="2"/>
    <n v="0"/>
  </r>
  <r>
    <x v="4"/>
    <x v="6"/>
    <x v="2"/>
    <n v="2"/>
  </r>
  <r>
    <x v="5"/>
    <x v="6"/>
    <x v="2"/>
    <n v="0"/>
  </r>
  <r>
    <x v="6"/>
    <x v="6"/>
    <x v="2"/>
    <n v="0"/>
  </r>
  <r>
    <x v="7"/>
    <x v="6"/>
    <x v="2"/>
    <n v="0"/>
  </r>
  <r>
    <x v="8"/>
    <x v="6"/>
    <x v="2"/>
    <d v="1899-12-30T00:07:00"/>
  </r>
  <r>
    <x v="9"/>
    <x v="6"/>
    <x v="2"/>
    <d v="1899-12-30T00:15:00"/>
  </r>
  <r>
    <x v="0"/>
    <x v="0"/>
    <x v="3"/>
    <n v="7"/>
  </r>
  <r>
    <x v="1"/>
    <x v="0"/>
    <x v="3"/>
    <n v="7"/>
  </r>
  <r>
    <x v="2"/>
    <x v="0"/>
    <x v="3"/>
    <n v="0"/>
  </r>
  <r>
    <x v="3"/>
    <x v="0"/>
    <x v="3"/>
    <n v="5"/>
  </r>
  <r>
    <x v="4"/>
    <x v="0"/>
    <x v="3"/>
    <n v="2"/>
  </r>
  <r>
    <x v="5"/>
    <x v="0"/>
    <x v="3"/>
    <n v="2"/>
  </r>
  <r>
    <x v="6"/>
    <x v="0"/>
    <x v="3"/>
    <n v="0"/>
  </r>
  <r>
    <x v="7"/>
    <x v="0"/>
    <x v="3"/>
    <n v="0"/>
  </r>
  <r>
    <x v="8"/>
    <x v="0"/>
    <x v="3"/>
    <d v="1899-12-30T06:11:00"/>
  </r>
  <r>
    <x v="9"/>
    <x v="0"/>
    <x v="3"/>
    <d v="1899-12-30T07:03:00"/>
  </r>
  <r>
    <x v="0"/>
    <x v="1"/>
    <x v="3"/>
    <n v="7"/>
  </r>
  <r>
    <x v="1"/>
    <x v="1"/>
    <x v="3"/>
    <n v="6"/>
  </r>
  <r>
    <x v="2"/>
    <x v="1"/>
    <x v="3"/>
    <n v="0"/>
  </r>
  <r>
    <x v="3"/>
    <x v="1"/>
    <x v="3"/>
    <n v="5"/>
  </r>
  <r>
    <x v="4"/>
    <x v="1"/>
    <x v="3"/>
    <n v="1"/>
  </r>
  <r>
    <x v="5"/>
    <x v="1"/>
    <x v="3"/>
    <n v="1"/>
  </r>
  <r>
    <x v="6"/>
    <x v="1"/>
    <x v="3"/>
    <n v="1"/>
  </r>
  <r>
    <x v="7"/>
    <x v="1"/>
    <x v="3"/>
    <n v="0"/>
  </r>
  <r>
    <x v="8"/>
    <x v="1"/>
    <x v="3"/>
    <d v="1899-12-30T06:11:00"/>
  </r>
  <r>
    <x v="9"/>
    <x v="1"/>
    <x v="3"/>
    <d v="1899-12-30T03:45:00"/>
  </r>
  <r>
    <x v="0"/>
    <x v="2"/>
    <x v="3"/>
    <n v="9"/>
  </r>
  <r>
    <x v="1"/>
    <x v="2"/>
    <x v="3"/>
    <n v="9"/>
  </r>
  <r>
    <x v="2"/>
    <x v="2"/>
    <x v="3"/>
    <n v="0"/>
  </r>
  <r>
    <x v="3"/>
    <x v="2"/>
    <x v="3"/>
    <n v="6"/>
  </r>
  <r>
    <x v="4"/>
    <x v="2"/>
    <x v="3"/>
    <n v="3"/>
  </r>
  <r>
    <x v="5"/>
    <x v="2"/>
    <x v="3"/>
    <n v="1"/>
  </r>
  <r>
    <x v="6"/>
    <x v="2"/>
    <x v="3"/>
    <n v="0"/>
  </r>
  <r>
    <x v="7"/>
    <x v="2"/>
    <x v="3"/>
    <n v="0"/>
  </r>
  <r>
    <x v="8"/>
    <x v="2"/>
    <x v="3"/>
    <d v="1899-12-30T06:41:00"/>
  </r>
  <r>
    <x v="9"/>
    <x v="2"/>
    <x v="3"/>
    <d v="1899-12-30T05:25:00"/>
  </r>
  <r>
    <x v="0"/>
    <x v="3"/>
    <x v="3"/>
    <n v="7"/>
  </r>
  <r>
    <x v="1"/>
    <x v="3"/>
    <x v="3"/>
    <n v="7"/>
  </r>
  <r>
    <x v="2"/>
    <x v="3"/>
    <x v="3"/>
    <n v="0"/>
  </r>
  <r>
    <x v="3"/>
    <x v="3"/>
    <x v="3"/>
    <n v="6"/>
  </r>
  <r>
    <x v="4"/>
    <x v="3"/>
    <x v="3"/>
    <n v="1"/>
  </r>
  <r>
    <x v="5"/>
    <x v="3"/>
    <x v="3"/>
    <n v="3"/>
  </r>
  <r>
    <x v="6"/>
    <x v="3"/>
    <x v="3"/>
    <n v="0"/>
  </r>
  <r>
    <x v="7"/>
    <x v="3"/>
    <x v="3"/>
    <n v="0"/>
  </r>
  <r>
    <x v="8"/>
    <x v="3"/>
    <x v="3"/>
    <d v="1899-12-30T06:11:00"/>
  </r>
  <r>
    <x v="9"/>
    <x v="3"/>
    <x v="3"/>
    <d v="1899-12-30T02:49:00"/>
  </r>
  <r>
    <x v="0"/>
    <x v="4"/>
    <x v="3"/>
    <n v="7"/>
  </r>
  <r>
    <x v="1"/>
    <x v="4"/>
    <x v="3"/>
    <n v="4"/>
  </r>
  <r>
    <x v="2"/>
    <x v="4"/>
    <x v="3"/>
    <n v="0"/>
  </r>
  <r>
    <x v="3"/>
    <x v="4"/>
    <x v="3"/>
    <n v="2"/>
  </r>
  <r>
    <x v="4"/>
    <x v="4"/>
    <x v="3"/>
    <n v="2"/>
  </r>
  <r>
    <x v="5"/>
    <x v="4"/>
    <x v="3"/>
    <n v="1"/>
  </r>
  <r>
    <x v="6"/>
    <x v="4"/>
    <x v="3"/>
    <n v="3"/>
  </r>
  <r>
    <x v="7"/>
    <x v="4"/>
    <x v="3"/>
    <n v="0"/>
  </r>
  <r>
    <x v="8"/>
    <x v="4"/>
    <x v="3"/>
    <d v="1899-12-30T06:11:00"/>
  </r>
  <r>
    <x v="9"/>
    <x v="4"/>
    <x v="3"/>
    <d v="1899-12-30T08:14:00"/>
  </r>
  <r>
    <x v="0"/>
    <x v="5"/>
    <x v="3"/>
    <n v="7"/>
  </r>
  <r>
    <x v="1"/>
    <x v="5"/>
    <x v="3"/>
    <n v="6"/>
  </r>
  <r>
    <x v="2"/>
    <x v="5"/>
    <x v="3"/>
    <n v="0"/>
  </r>
  <r>
    <x v="3"/>
    <x v="5"/>
    <x v="3"/>
    <n v="5"/>
  </r>
  <r>
    <x v="4"/>
    <x v="5"/>
    <x v="3"/>
    <n v="1"/>
  </r>
  <r>
    <x v="5"/>
    <x v="5"/>
    <x v="3"/>
    <n v="1"/>
  </r>
  <r>
    <x v="6"/>
    <x v="5"/>
    <x v="3"/>
    <n v="1"/>
  </r>
  <r>
    <x v="7"/>
    <x v="5"/>
    <x v="3"/>
    <n v="0"/>
  </r>
  <r>
    <x v="8"/>
    <x v="5"/>
    <x v="3"/>
    <d v="1899-12-30T06:11:00"/>
  </r>
  <r>
    <x v="9"/>
    <x v="5"/>
    <x v="3"/>
    <d v="1899-12-30T22:11:00"/>
  </r>
  <r>
    <x v="0"/>
    <x v="6"/>
    <x v="3"/>
    <n v="4"/>
  </r>
  <r>
    <x v="1"/>
    <x v="6"/>
    <x v="3"/>
    <n v="4"/>
  </r>
  <r>
    <x v="2"/>
    <x v="6"/>
    <x v="3"/>
    <n v="2"/>
  </r>
  <r>
    <x v="3"/>
    <x v="6"/>
    <x v="3"/>
    <n v="3"/>
  </r>
  <r>
    <x v="4"/>
    <x v="6"/>
    <x v="3"/>
    <n v="1"/>
  </r>
  <r>
    <x v="5"/>
    <x v="6"/>
    <x v="3"/>
    <n v="3"/>
  </r>
  <r>
    <x v="6"/>
    <x v="6"/>
    <x v="3"/>
    <n v="0"/>
  </r>
  <r>
    <x v="7"/>
    <x v="6"/>
    <x v="3"/>
    <n v="0"/>
  </r>
  <r>
    <x v="8"/>
    <x v="6"/>
    <x v="3"/>
    <d v="1899-12-30T01:11:00"/>
  </r>
  <r>
    <x v="9"/>
    <x v="6"/>
    <x v="3"/>
    <d v="1899-12-30T00:19:00"/>
  </r>
  <r>
    <x v="0"/>
    <x v="0"/>
    <x v="4"/>
    <n v="7"/>
  </r>
  <r>
    <x v="1"/>
    <x v="0"/>
    <x v="4"/>
    <n v="7"/>
  </r>
  <r>
    <x v="2"/>
    <x v="0"/>
    <x v="4"/>
    <n v="0"/>
  </r>
  <r>
    <x v="3"/>
    <x v="0"/>
    <x v="4"/>
    <n v="6"/>
  </r>
  <r>
    <x v="4"/>
    <x v="0"/>
    <x v="4"/>
    <n v="1"/>
  </r>
  <r>
    <x v="5"/>
    <x v="0"/>
    <x v="4"/>
    <n v="1"/>
  </r>
  <r>
    <x v="6"/>
    <x v="0"/>
    <x v="4"/>
    <n v="0"/>
  </r>
  <r>
    <x v="7"/>
    <x v="0"/>
    <x v="4"/>
    <n v="0"/>
  </r>
  <r>
    <x v="8"/>
    <x v="0"/>
    <x v="4"/>
    <d v="1899-12-30T04:14:00"/>
  </r>
  <r>
    <x v="9"/>
    <x v="0"/>
    <x v="4"/>
    <d v="1899-12-30T09:06:00"/>
  </r>
  <r>
    <x v="0"/>
    <x v="1"/>
    <x v="4"/>
    <n v="7"/>
  </r>
  <r>
    <x v="1"/>
    <x v="1"/>
    <x v="4"/>
    <n v="5"/>
  </r>
  <r>
    <x v="2"/>
    <x v="1"/>
    <x v="4"/>
    <n v="0"/>
  </r>
  <r>
    <x v="3"/>
    <x v="1"/>
    <x v="4"/>
    <n v="4"/>
  </r>
  <r>
    <x v="4"/>
    <x v="1"/>
    <x v="4"/>
    <n v="1"/>
  </r>
  <r>
    <x v="5"/>
    <x v="1"/>
    <x v="4"/>
    <n v="1"/>
  </r>
  <r>
    <x v="6"/>
    <x v="1"/>
    <x v="4"/>
    <n v="2"/>
  </r>
  <r>
    <x v="7"/>
    <x v="1"/>
    <x v="4"/>
    <n v="0"/>
  </r>
  <r>
    <x v="8"/>
    <x v="1"/>
    <x v="4"/>
    <d v="1899-12-30T04:14:00"/>
  </r>
  <r>
    <x v="9"/>
    <x v="1"/>
    <x v="4"/>
    <d v="1899-12-30T02:31:00"/>
  </r>
  <r>
    <x v="0"/>
    <x v="2"/>
    <x v="4"/>
    <n v="8"/>
  </r>
  <r>
    <x v="1"/>
    <x v="2"/>
    <x v="4"/>
    <n v="8"/>
  </r>
  <r>
    <x v="2"/>
    <x v="2"/>
    <x v="4"/>
    <n v="0"/>
  </r>
  <r>
    <x v="3"/>
    <x v="2"/>
    <x v="4"/>
    <n v="7"/>
  </r>
  <r>
    <x v="4"/>
    <x v="2"/>
    <x v="4"/>
    <n v="1"/>
  </r>
  <r>
    <x v="5"/>
    <x v="2"/>
    <x v="4"/>
    <n v="1"/>
  </r>
  <r>
    <x v="6"/>
    <x v="2"/>
    <x v="4"/>
    <n v="0"/>
  </r>
  <r>
    <x v="7"/>
    <x v="2"/>
    <x v="4"/>
    <n v="0"/>
  </r>
  <r>
    <x v="8"/>
    <x v="2"/>
    <x v="4"/>
    <d v="1899-12-30T04:44:00"/>
  </r>
  <r>
    <x v="9"/>
    <x v="2"/>
    <x v="4"/>
    <d v="1899-12-30T03:17:00"/>
  </r>
  <r>
    <x v="0"/>
    <x v="3"/>
    <x v="4"/>
    <n v="7"/>
  </r>
  <r>
    <x v="1"/>
    <x v="3"/>
    <x v="4"/>
    <n v="7"/>
  </r>
  <r>
    <x v="2"/>
    <x v="3"/>
    <x v="4"/>
    <n v="0"/>
  </r>
  <r>
    <x v="3"/>
    <x v="3"/>
    <x v="4"/>
    <n v="6"/>
  </r>
  <r>
    <x v="4"/>
    <x v="3"/>
    <x v="4"/>
    <n v="1"/>
  </r>
  <r>
    <x v="5"/>
    <x v="3"/>
    <x v="4"/>
    <n v="1"/>
  </r>
  <r>
    <x v="6"/>
    <x v="3"/>
    <x v="4"/>
    <n v="0"/>
  </r>
  <r>
    <x v="7"/>
    <x v="3"/>
    <x v="4"/>
    <n v="0"/>
  </r>
  <r>
    <x v="8"/>
    <x v="3"/>
    <x v="4"/>
    <d v="1899-12-30T04:14:00"/>
  </r>
  <r>
    <x v="9"/>
    <x v="3"/>
    <x v="4"/>
    <d v="1899-12-30T05:15:00"/>
  </r>
  <r>
    <x v="0"/>
    <x v="4"/>
    <x v="4"/>
    <n v="7"/>
  </r>
  <r>
    <x v="1"/>
    <x v="4"/>
    <x v="4"/>
    <n v="3"/>
  </r>
  <r>
    <x v="2"/>
    <x v="4"/>
    <x v="4"/>
    <n v="0"/>
  </r>
  <r>
    <x v="3"/>
    <x v="4"/>
    <x v="4"/>
    <n v="2"/>
  </r>
  <r>
    <x v="4"/>
    <x v="4"/>
    <x v="4"/>
    <n v="1"/>
  </r>
  <r>
    <x v="5"/>
    <x v="4"/>
    <x v="4"/>
    <n v="1"/>
  </r>
  <r>
    <x v="6"/>
    <x v="4"/>
    <x v="4"/>
    <n v="4"/>
  </r>
  <r>
    <x v="7"/>
    <x v="4"/>
    <x v="4"/>
    <n v="0"/>
  </r>
  <r>
    <x v="8"/>
    <x v="4"/>
    <x v="4"/>
    <d v="1899-12-30T04:14:00"/>
  </r>
  <r>
    <x v="9"/>
    <x v="4"/>
    <x v="4"/>
    <d v="1899-12-30T00:15:00"/>
  </r>
  <r>
    <x v="0"/>
    <x v="5"/>
    <x v="4"/>
    <n v="7"/>
  </r>
  <r>
    <x v="1"/>
    <x v="5"/>
    <x v="4"/>
    <n v="7"/>
  </r>
  <r>
    <x v="2"/>
    <x v="5"/>
    <x v="4"/>
    <n v="0"/>
  </r>
  <r>
    <x v="3"/>
    <x v="5"/>
    <x v="4"/>
    <n v="6"/>
  </r>
  <r>
    <x v="4"/>
    <x v="5"/>
    <x v="4"/>
    <n v="1"/>
  </r>
  <r>
    <x v="5"/>
    <x v="5"/>
    <x v="4"/>
    <n v="1"/>
  </r>
  <r>
    <x v="6"/>
    <x v="5"/>
    <x v="4"/>
    <n v="0"/>
  </r>
  <r>
    <x v="7"/>
    <x v="5"/>
    <x v="4"/>
    <n v="0"/>
  </r>
  <r>
    <x v="8"/>
    <x v="5"/>
    <x v="4"/>
    <d v="1899-12-30T04:14:00"/>
  </r>
  <r>
    <x v="9"/>
    <x v="5"/>
    <x v="4"/>
    <d v="1899-12-30T07:03:00"/>
  </r>
  <r>
    <x v="0"/>
    <x v="6"/>
    <x v="4"/>
    <n v="3"/>
  </r>
  <r>
    <x v="1"/>
    <x v="6"/>
    <x v="4"/>
    <n v="3"/>
  </r>
  <r>
    <x v="2"/>
    <x v="6"/>
    <x v="4"/>
    <n v="0"/>
  </r>
  <r>
    <x v="3"/>
    <x v="6"/>
    <x v="4"/>
    <n v="2"/>
  </r>
  <r>
    <x v="4"/>
    <x v="6"/>
    <x v="4"/>
    <n v="1"/>
  </r>
  <r>
    <x v="5"/>
    <x v="6"/>
    <x v="4"/>
    <n v="1"/>
  </r>
  <r>
    <x v="6"/>
    <x v="6"/>
    <x v="4"/>
    <n v="0"/>
  </r>
  <r>
    <x v="7"/>
    <x v="6"/>
    <x v="4"/>
    <n v="0"/>
  </r>
  <r>
    <x v="8"/>
    <x v="6"/>
    <x v="4"/>
    <d v="1899-12-30T00:14:00"/>
  </r>
  <r>
    <x v="9"/>
    <x v="6"/>
    <x v="4"/>
    <d v="1899-12-30T00:15:00"/>
  </r>
  <r>
    <x v="0"/>
    <x v="0"/>
    <x v="5"/>
    <n v="5"/>
  </r>
  <r>
    <x v="1"/>
    <x v="0"/>
    <x v="5"/>
    <n v="3"/>
  </r>
  <r>
    <x v="2"/>
    <x v="0"/>
    <x v="5"/>
    <n v="0"/>
  </r>
  <r>
    <x v="3"/>
    <x v="0"/>
    <x v="5"/>
    <n v="2"/>
  </r>
  <r>
    <x v="4"/>
    <x v="0"/>
    <x v="5"/>
    <n v="1"/>
  </r>
  <r>
    <x v="5"/>
    <x v="0"/>
    <x v="5"/>
    <n v="0"/>
  </r>
  <r>
    <x v="6"/>
    <x v="0"/>
    <x v="5"/>
    <n v="2"/>
  </r>
  <r>
    <x v="7"/>
    <x v="0"/>
    <x v="5"/>
    <n v="0"/>
  </r>
  <r>
    <x v="8"/>
    <x v="0"/>
    <x v="5"/>
    <d v="1899-12-30T04:36:00"/>
  </r>
  <r>
    <x v="9"/>
    <x v="0"/>
    <x v="5"/>
    <d v="1899-12-30T02:23:00"/>
  </r>
  <r>
    <x v="0"/>
    <x v="1"/>
    <x v="5"/>
    <n v="5"/>
  </r>
  <r>
    <x v="1"/>
    <x v="1"/>
    <x v="5"/>
    <n v="2"/>
  </r>
  <r>
    <x v="2"/>
    <x v="1"/>
    <x v="5"/>
    <n v="0"/>
  </r>
  <r>
    <x v="3"/>
    <x v="1"/>
    <x v="5"/>
    <n v="0"/>
  </r>
  <r>
    <x v="4"/>
    <x v="1"/>
    <x v="5"/>
    <n v="2"/>
  </r>
  <r>
    <x v="5"/>
    <x v="1"/>
    <x v="5"/>
    <n v="0"/>
  </r>
  <r>
    <x v="6"/>
    <x v="1"/>
    <x v="5"/>
    <n v="3"/>
  </r>
  <r>
    <x v="7"/>
    <x v="1"/>
    <x v="5"/>
    <n v="0"/>
  </r>
  <r>
    <x v="8"/>
    <x v="1"/>
    <x v="5"/>
    <d v="1899-12-30T04:36:00"/>
  </r>
  <r>
    <x v="9"/>
    <x v="1"/>
    <x v="5"/>
    <d v="1899-12-30T01:25:00"/>
  </r>
  <r>
    <x v="0"/>
    <x v="2"/>
    <x v="5"/>
    <n v="6"/>
  </r>
  <r>
    <x v="1"/>
    <x v="2"/>
    <x v="5"/>
    <n v="3"/>
  </r>
  <r>
    <x v="2"/>
    <x v="2"/>
    <x v="5"/>
    <n v="0"/>
  </r>
  <r>
    <x v="3"/>
    <x v="2"/>
    <x v="5"/>
    <n v="1"/>
  </r>
  <r>
    <x v="4"/>
    <x v="2"/>
    <x v="5"/>
    <n v="2"/>
  </r>
  <r>
    <x v="5"/>
    <x v="2"/>
    <x v="5"/>
    <n v="0"/>
  </r>
  <r>
    <x v="6"/>
    <x v="2"/>
    <x v="5"/>
    <n v="3"/>
  </r>
  <r>
    <x v="7"/>
    <x v="2"/>
    <x v="5"/>
    <n v="0"/>
  </r>
  <r>
    <x v="8"/>
    <x v="2"/>
    <x v="5"/>
    <d v="1899-12-30T05:36:00"/>
  </r>
  <r>
    <x v="9"/>
    <x v="2"/>
    <x v="5"/>
    <d v="1899-12-30T01:11:00"/>
  </r>
  <r>
    <x v="0"/>
    <x v="3"/>
    <x v="5"/>
    <n v="5"/>
  </r>
  <r>
    <x v="1"/>
    <x v="3"/>
    <x v="5"/>
    <n v="3"/>
  </r>
  <r>
    <x v="2"/>
    <x v="3"/>
    <x v="5"/>
    <n v="0"/>
  </r>
  <r>
    <x v="3"/>
    <x v="3"/>
    <x v="5"/>
    <n v="1"/>
  </r>
  <r>
    <x v="4"/>
    <x v="3"/>
    <x v="5"/>
    <n v="2"/>
  </r>
  <r>
    <x v="5"/>
    <x v="3"/>
    <x v="5"/>
    <n v="0"/>
  </r>
  <r>
    <x v="6"/>
    <x v="3"/>
    <x v="5"/>
    <n v="2"/>
  </r>
  <r>
    <x v="7"/>
    <x v="3"/>
    <x v="5"/>
    <n v="0"/>
  </r>
  <r>
    <x v="8"/>
    <x v="3"/>
    <x v="5"/>
    <d v="1899-12-30T04:36:00"/>
  </r>
  <r>
    <x v="9"/>
    <x v="3"/>
    <x v="5"/>
    <d v="1899-12-30T03:05:00"/>
  </r>
  <r>
    <x v="0"/>
    <x v="4"/>
    <x v="5"/>
    <n v="5"/>
  </r>
  <r>
    <x v="1"/>
    <x v="4"/>
    <x v="5"/>
    <n v="2"/>
  </r>
  <r>
    <x v="2"/>
    <x v="4"/>
    <x v="5"/>
    <n v="0"/>
  </r>
  <r>
    <x v="3"/>
    <x v="4"/>
    <x v="5"/>
    <n v="0"/>
  </r>
  <r>
    <x v="4"/>
    <x v="4"/>
    <x v="5"/>
    <n v="2"/>
  </r>
  <r>
    <x v="5"/>
    <x v="4"/>
    <x v="5"/>
    <n v="1"/>
  </r>
  <r>
    <x v="6"/>
    <x v="4"/>
    <x v="5"/>
    <n v="3"/>
  </r>
  <r>
    <x v="7"/>
    <x v="4"/>
    <x v="5"/>
    <n v="0"/>
  </r>
  <r>
    <x v="8"/>
    <x v="4"/>
    <x v="5"/>
    <d v="1899-12-30T04:36:00"/>
  </r>
  <r>
    <x v="9"/>
    <x v="4"/>
    <x v="5"/>
    <d v="1899-12-30T00:05:00"/>
  </r>
  <r>
    <x v="0"/>
    <x v="5"/>
    <x v="5"/>
    <n v="5"/>
  </r>
  <r>
    <x v="1"/>
    <x v="5"/>
    <x v="5"/>
    <n v="4"/>
  </r>
  <r>
    <x v="2"/>
    <x v="5"/>
    <x v="5"/>
    <n v="0"/>
  </r>
  <r>
    <x v="3"/>
    <x v="5"/>
    <x v="5"/>
    <n v="2"/>
  </r>
  <r>
    <x v="4"/>
    <x v="5"/>
    <x v="5"/>
    <n v="2"/>
  </r>
  <r>
    <x v="5"/>
    <x v="5"/>
    <x v="5"/>
    <n v="0"/>
  </r>
  <r>
    <x v="6"/>
    <x v="5"/>
    <x v="5"/>
    <n v="1"/>
  </r>
  <r>
    <x v="7"/>
    <x v="5"/>
    <x v="5"/>
    <n v="0"/>
  </r>
  <r>
    <x v="8"/>
    <x v="5"/>
    <x v="5"/>
    <d v="1899-12-30T04:36:00"/>
  </r>
  <r>
    <x v="9"/>
    <x v="5"/>
    <x v="5"/>
    <d v="1899-12-30T06:31:00"/>
  </r>
  <r>
    <x v="0"/>
    <x v="6"/>
    <x v="5"/>
    <n v="1"/>
  </r>
  <r>
    <x v="1"/>
    <x v="6"/>
    <x v="5"/>
    <n v="1"/>
  </r>
  <r>
    <x v="2"/>
    <x v="6"/>
    <x v="5"/>
    <n v="0"/>
  </r>
  <r>
    <x v="3"/>
    <x v="6"/>
    <x v="5"/>
    <n v="0"/>
  </r>
  <r>
    <x v="4"/>
    <x v="6"/>
    <x v="5"/>
    <n v="1"/>
  </r>
  <r>
    <x v="5"/>
    <x v="6"/>
    <x v="5"/>
    <n v="0"/>
  </r>
  <r>
    <x v="6"/>
    <x v="6"/>
    <x v="5"/>
    <n v="0"/>
  </r>
  <r>
    <x v="7"/>
    <x v="6"/>
    <x v="5"/>
    <n v="0"/>
  </r>
  <r>
    <x v="8"/>
    <x v="6"/>
    <x v="5"/>
    <d v="1899-12-30T00:06:00"/>
  </r>
  <r>
    <x v="9"/>
    <x v="6"/>
    <x v="5"/>
    <d v="1899-12-30T00:05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C14622-8167-5C4F-A530-C047633F67B5}" name="TablaDinámica5" cacheId="447" dataOnRows="1" applyNumberFormats="0" applyBorderFormats="0" applyFontFormats="0" applyPatternFormats="0" applyAlignmentFormats="0" applyWidthHeightFormats="1" dataCaption="Valores" showMissing="0" updatedVersion="6" minRefreshableVersion="3" useAutoFormatting="1" itemPrintTitles="1" createdVersion="6" indent="0" outline="1" outlineData="1" multipleFieldFilters="0">
  <location ref="M9:T18" firstHeaderRow="1" firstDataRow="2" firstDataCol="1" rowPageCount="1" colPageCount="1"/>
  <pivotFields count="12">
    <pivotField axis="axisCol" showAll="0">
      <items count="9">
        <item m="1" x="7"/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dataField="1" showAll="0"/>
    <pivotField dataField="1" showAll="0"/>
    <pivotField axis="axisPage" showAll="0">
      <items count="6">
        <item m="1" x="4"/>
        <item x="0"/>
        <item x="1"/>
        <item x="2"/>
        <item x="3"/>
        <item t="default"/>
      </items>
    </pivotField>
  </pivotFields>
  <rowFields count="1">
    <field x="-2"/>
  </rowFields>
  <row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11" item="4" hier="-1"/>
  </pageFields>
  <dataFields count="8">
    <dataField name="Suma de Planeadas" fld="1" baseField="0" baseItem="0"/>
    <dataField name="Suma de Sin iniciar" fld="2" baseField="0" baseItem="0"/>
    <dataField name="Suma de En progreso" fld="3" baseField="0" baseItem="0"/>
    <dataField name="Suma de Completas" fld="4" baseField="0" baseItem="0"/>
    <dataField name="Suma de Tarde" fld="5" baseField="0" baseItem="0"/>
    <dataField name="Suma de Sin logs" fld="6" baseField="0" baseItem="0"/>
    <dataField name="Suma de Estimado [h:mm]" fld="9" baseField="0" baseItem="0" numFmtId="164"/>
    <dataField name="Suma de Registrado [h:mm]" fld="10" baseField="0" baseItem="0" numFmtId="164"/>
  </dataFields>
  <formats count="2">
    <format dxfId="33">
      <pivotArea dataOnly="0" outline="0" fieldPosition="0">
        <references count="1">
          <reference field="4294967294" count="1">
            <x v="3"/>
          </reference>
        </references>
      </pivotArea>
    </format>
    <format dxfId="32">
      <pivotArea dataOnly="0"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9554A-5C94-3344-ADAB-633B9BCF43F8}" name="TablaDinámica2" cacheId="44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G36" firstHeaderRow="0" firstDataRow="1" firstDataCol="1"/>
  <pivotFields count="12">
    <pivotField axis="axisRow" showAll="0">
      <items count="9">
        <item m="1" x="7"/>
        <item x="6"/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6">
        <item m="1" x="4"/>
        <item x="0"/>
        <item x="1"/>
        <item x="2"/>
        <item x="3"/>
        <item t="default"/>
      </items>
    </pivotField>
  </pivotFields>
  <rowFields count="2">
    <field x="0"/>
    <field x="11"/>
  </rowFields>
  <rowItems count="33">
    <i>
      <x v="1"/>
    </i>
    <i r="1">
      <x v="1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>
      <x v="5"/>
    </i>
    <i r="1">
      <x v="1"/>
    </i>
    <i r="1">
      <x v="2"/>
    </i>
    <i r="1">
      <x v="3"/>
    </i>
    <i r="1">
      <x v="4"/>
    </i>
    <i>
      <x v="6"/>
    </i>
    <i r="1">
      <x v="1"/>
    </i>
    <i r="1">
      <x v="2"/>
    </i>
    <i r="1">
      <x v="3"/>
    </i>
    <i r="1">
      <x v="4"/>
    </i>
    <i>
      <x v="7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Planeadas" fld="1" baseField="0" baseItem="0"/>
    <dataField name="Suma de Sin iniciar" fld="2" baseField="0" baseItem="0"/>
    <dataField name="Suma de En progreso" fld="3" baseField="0" baseItem="0"/>
    <dataField name="Suma de Completas" fld="4" baseField="0" baseItem="0"/>
    <dataField name="Suma de Sin logs" fld="6" baseField="0" baseItem="0"/>
    <dataField name="Suma de Tarde" fld="5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F14EF-6787-F441-8B4B-5B8096FE575C}" name="TablaDinámica7" cacheId="44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K3:O8" firstHeaderRow="0" firstDataRow="1" firstDataCol="1"/>
  <pivotFields count="12">
    <pivotField showAll="0">
      <items count="9">
        <item h="1" x="0"/>
        <item h="1" x="3"/>
        <item x="4"/>
        <item h="1" x="5"/>
        <item h="1" x="1"/>
        <item h="1" x="2"/>
        <item h="1" x="6"/>
        <item h="1" m="1" x="7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6">
        <item m="1" x="4"/>
        <item x="0"/>
        <item x="1"/>
        <item x="2"/>
        <item x="3"/>
        <item t="default"/>
      </items>
    </pivotField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Planeadas" fld="1" baseField="0" baseItem="0"/>
    <dataField name="Suma de Sin iniciar" fld="2" baseField="0" baseItem="0"/>
    <dataField name="Suma de En progreso" fld="3" baseField="0" baseItem="0"/>
    <dataField name="Suma de Completas" fld="4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457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4" indent="0" outline="1" outlineData="1" multipleFieldFilters="0">
  <location ref="A13:I24" firstHeaderRow="1" firstDataRow="2" firstDataCol="1" rowPageCount="1" colPageCount="1"/>
  <pivotFields count="4">
    <pivotField axis="axisRow" showAll="0">
      <items count="15">
        <item x="0"/>
        <item x="1"/>
        <item x="2"/>
        <item x="3"/>
        <item x="4"/>
        <item x="5"/>
        <item x="6"/>
        <item x="7"/>
        <item m="1" x="10"/>
        <item m="1" x="13"/>
        <item m="1" x="12"/>
        <item m="1" x="11"/>
        <item x="8"/>
        <item x="9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2"/>
    </i>
    <i>
      <x v="13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" item="4" hier="-1"/>
  </pageFields>
  <dataFields count="1">
    <dataField name="Suma de #" fld="3" baseField="0" baseItem="0"/>
  </dataFields>
  <formats count="5">
    <format dxfId="21">
      <pivotArea grandCol="1" outline="0" collapsedLevelsAreSubtotals="1" fieldPosition="0"/>
    </format>
    <format dxfId="20">
      <pivotArea dataOnly="0" fieldPosition="0">
        <references count="1">
          <reference field="0" count="1">
            <x v="6"/>
          </reference>
        </references>
      </pivotArea>
    </format>
    <format dxfId="19">
      <pivotArea dataOnly="0" fieldPosition="0">
        <references count="1">
          <reference field="0" count="1">
            <x v="1"/>
          </reference>
        </references>
      </pivotArea>
    </format>
    <format dxfId="18">
      <pivotArea collapsedLevelsAreSubtotals="1" fieldPosition="0">
        <references count="2">
          <reference field="0" count="1">
            <x v="10"/>
          </reference>
          <reference field="1" count="0" selected="0"/>
        </references>
      </pivotArea>
    </format>
    <format dxfId="17">
      <pivotArea field="0" grandCol="1" collapsedLevelsAreSubtotals="1" axis="axisRow" fieldPosition="0">
        <references count="1">
          <reference field="0" count="1">
            <x v="1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a dinámica2" cacheId="457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4" indent="0" outline="1" outlineData="1" multipleFieldFilters="0">
  <location ref="A31:I42" firstHeaderRow="1" firstDataRow="2" firstDataCol="1" rowPageCount="1" colPageCount="1"/>
  <pivotFields count="4">
    <pivotField axis="axisRow" showAll="0">
      <items count="15">
        <item x="0"/>
        <item x="1"/>
        <item x="2"/>
        <item x="3"/>
        <item x="4"/>
        <item x="5"/>
        <item x="6"/>
        <item x="7"/>
        <item m="1" x="10"/>
        <item m="1" x="13"/>
        <item m="1" x="12"/>
        <item m="1" x="11"/>
        <item x="8"/>
        <item x="9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2"/>
    </i>
    <i>
      <x v="13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" item="4" hier="-1"/>
  </pageFields>
  <dataFields count="1">
    <dataField name="Suma de #" fld="3" baseField="0" baseItem="0" numFmtId="164"/>
  </dataFields>
  <formats count="8">
    <format dxfId="29">
      <pivotArea grandCol="1" outline="0" collapsedLevelsAreSubtotals="1" fieldPosition="0"/>
    </format>
    <format dxfId="28">
      <pivotArea dataOnly="0" fieldPosition="0">
        <references count="1">
          <reference field="0" count="1">
            <x v="6"/>
          </reference>
        </references>
      </pivotArea>
    </format>
    <format dxfId="27">
      <pivotArea dataOnly="0" fieldPosition="0">
        <references count="1">
          <reference field="0" count="1">
            <x v="1"/>
          </reference>
        </references>
      </pivotArea>
    </format>
    <format dxfId="26">
      <pivotArea collapsedLevelsAreSubtotals="1" fieldPosition="0">
        <references count="2">
          <reference field="0" count="1">
            <x v="10"/>
          </reference>
          <reference field="1" count="0" selected="0"/>
        </references>
      </pivotArea>
    </format>
    <format dxfId="25">
      <pivotArea field="0" grandCol="1" collapsedLevelsAreSubtotals="1" axis="axisRow" fieldPosition="0">
        <references count="1">
          <reference field="0" count="1">
            <x v="10"/>
          </reference>
        </references>
      </pivotArea>
    </format>
    <format dxfId="24">
      <pivotArea outline="0" fieldPosition="0">
        <references count="1">
          <reference field="4294967294" count="1">
            <x v="0"/>
          </reference>
        </references>
      </pivotArea>
    </format>
    <format dxfId="23">
      <pivotArea collapsedLevelsAreSubtotals="1" fieldPosition="0">
        <references count="1">
          <reference field="0" count="1">
            <x v="12"/>
          </reference>
        </references>
      </pivotArea>
    </format>
    <format dxfId="22">
      <pivotArea dataOnly="0" labelOnly="1" fieldPosition="0">
        <references count="1">
          <reference field="0" count="1">
            <x v="1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8A673-0B8E-7242-A874-0CDBBDCF99C7}" name="TablaDinámica27" cacheId="45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3:E11" firstHeaderRow="1" firstDataRow="1" firstDataCol="1"/>
  <pivotFields count="4">
    <pivotField axis="axisRow" showAll="0">
      <items count="1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  <pivotField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2">
    <field x="0"/>
    <field x="2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uma de #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4F03-D19B-154B-A471-FA06936DDC42}" name="TablaDinámica26" cacheId="45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1" firstHeaderRow="1" firstDataRow="1" firstDataCol="1"/>
  <pivotFields count="4">
    <pivotField axis="axisRow" showAll="0">
      <items count="1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  <pivotField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2">
    <field x="0"/>
    <field x="2"/>
  </rowFields>
  <rowItems count="8"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uma de #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702B71-EA01-5F4E-8DD0-515CC98E4873}" name="TablaDinámica51" cacheId="45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K16:P24" firstHeaderRow="1" firstDataRow="2" firstDataCol="1"/>
  <pivotFields count="4">
    <pivotField axis="axisCol" showAll="0">
      <items count="15">
        <item x="0"/>
        <item x="1"/>
        <item h="1" x="2"/>
        <item h="1" x="3"/>
        <item h="1" x="4"/>
        <item h="1" x="5"/>
        <item x="6"/>
        <item x="7"/>
        <item h="1" m="1" x="10"/>
        <item h="1" x="8"/>
        <item h="1" m="1" x="12"/>
        <item h="1" m="1" x="13"/>
        <item h="1" x="9"/>
        <item h="1" m="1" x="11"/>
        <item t="default"/>
      </items>
    </pivotField>
    <pivotField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5">
    <i>
      <x/>
    </i>
    <i>
      <x v="1"/>
    </i>
    <i>
      <x v="6"/>
    </i>
    <i>
      <x v="7"/>
    </i>
    <i t="grand">
      <x/>
    </i>
  </colItems>
  <dataFields count="1">
    <dataField name="Suma de #" fld="3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A2F6DB-92AF-B84A-B85B-F4338AA5F98F}" name="TablaDinámica50" cacheId="45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K1:P9" firstHeaderRow="1" firstDataRow="2" firstDataCol="1"/>
  <pivotFields count="4">
    <pivotField axis="axisCol" showAll="0">
      <items count="11">
        <item x="0"/>
        <item x="1"/>
        <item h="1" x="2"/>
        <item h="1" x="3"/>
        <item h="1" x="4"/>
        <item h="1" x="5"/>
        <item x="6"/>
        <item x="7"/>
        <item h="1" x="8"/>
        <item h="1" x="9"/>
        <item t="default"/>
      </items>
    </pivotField>
    <pivotField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5">
    <i>
      <x/>
    </i>
    <i>
      <x v="1"/>
    </i>
    <i>
      <x v="6"/>
    </i>
    <i>
      <x v="7"/>
    </i>
    <i t="grand">
      <x/>
    </i>
  </colItems>
  <dataFields count="1">
    <dataField name="Suma de #" fld="3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B405B0-2016-7045-AE0F-849E9F714DD2}" name="TablaDinámica32" cacheId="45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D18:E26" firstHeaderRow="1" firstDataRow="1" firstDataCol="1"/>
  <pivotFields count="4">
    <pivotField axis="axisRow" showAll="0">
      <items count="15">
        <item x="0"/>
        <item h="1" x="1"/>
        <item h="1" x="2"/>
        <item h="1" x="3"/>
        <item h="1" x="4"/>
        <item h="1" x="5"/>
        <item h="1" x="6"/>
        <item h="1" x="7"/>
        <item h="1" m="1" x="10"/>
        <item h="1" x="8"/>
        <item h="1" m="1" x="12"/>
        <item h="1" m="1" x="13"/>
        <item h="1" x="9"/>
        <item h="1" m="1" x="11"/>
        <item t="default"/>
      </items>
    </pivotField>
    <pivotField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2">
    <field x="0"/>
    <field x="2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uma de #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3F4531-C902-9146-B112-79EF87BF1993}" name="TablaDinámica28" cacheId="45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18:B26" firstHeaderRow="1" firstDataRow="1" firstDataCol="1"/>
  <pivotFields count="4">
    <pivotField axis="axisRow" showAll="0">
      <items count="15">
        <item h="1" x="0"/>
        <item x="1"/>
        <item h="1" x="2"/>
        <item h="1" x="3"/>
        <item h="1" x="4"/>
        <item h="1" x="5"/>
        <item h="1" x="6"/>
        <item h="1" x="7"/>
        <item h="1" m="1" x="10"/>
        <item h="1" x="8"/>
        <item h="1" m="1" x="12"/>
        <item h="1" m="1" x="13"/>
        <item h="1" x="9"/>
        <item h="1" m="1" x="11"/>
        <item t="default"/>
      </items>
    </pivotField>
    <pivotField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2">
    <field x="0"/>
    <field x="2"/>
  </rowFields>
  <rowItems count="8"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uma de #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" xr10:uid="{00000000-0013-0000-FFFF-FFFF01000000}" sourceName="Semana">
  <pivotTables>
    <pivotTable tabId="4" name="Tabla dinámica1"/>
    <pivotTable tabId="4" name="Tabla dinámica2"/>
  </pivotTables>
  <data>
    <tabular pivotCacheId="1">
      <items count="6">
        <i x="0"/>
        <i x="1"/>
        <i x="2"/>
        <i x="3"/>
        <i x="4" s="1"/>
        <i x="5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00000000-0013-0000-FFFF-FFFF02000000}" sourceName="Nombre">
  <pivotTables>
    <pivotTable tabId="4" name="Tabla dinámica1"/>
    <pivotTable tabId="4" name="Tabla dinámica2"/>
  </pivotTables>
  <data>
    <tabular pivotCacheId="1">
      <items count="7">
        <i x="6" s="1"/>
        <i x="0" s="1"/>
        <i x="1" s="1"/>
        <i x="2" s="1"/>
        <i x="3" s="1"/>
        <i x="4" s="1"/>
        <i x="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F4741F9C-F136-7241-84A6-F0761FE89C44}" sourceName="Tipo">
  <pivotTables>
    <pivotTable tabId="8" name="TablaDinámica26"/>
  </pivotTables>
  <data>
    <tabular pivotCacheId="1273455305">
      <items count="10">
        <i x="0"/>
        <i x="1" s="1"/>
        <i x="2"/>
        <i x="3"/>
        <i x="4"/>
        <i x="5"/>
        <i x="6"/>
        <i x="7"/>
        <i x="8"/>
        <i x="9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1" xr10:uid="{E6C1A4A3-99A6-CD4C-B64D-BA9AE2C88524}" sourceName="Nombre">
  <pivotTables>
    <pivotTable tabId="8" name="TablaDinámica26"/>
    <pivotTable tabId="8" name="TablaDinámica27"/>
    <pivotTable tabId="8" name="TablaDinámica50"/>
  </pivotTables>
  <data>
    <tabular pivotCacheId="1273455305">
      <items count="7">
        <i x="6" s="1"/>
        <i x="0" s="1"/>
        <i x="1" s="1"/>
        <i x="2" s="1"/>
        <i x="3" s="1"/>
        <i x="4" s="1"/>
        <i x="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6B7E7227-2E03-A649-B43B-31D995946CA9}" sourceName="Tipo">
  <pivotTables>
    <pivotTable tabId="8" name="TablaDinámica28"/>
  </pivotTables>
  <data>
    <tabular pivotCacheId="1">
      <items count="14">
        <i x="0"/>
        <i x="1" s="1"/>
        <i x="2"/>
        <i x="3"/>
        <i x="4"/>
        <i x="5"/>
        <i x="6"/>
        <i x="7"/>
        <i x="8"/>
        <i x="9"/>
        <i x="10" nd="1"/>
        <i x="12" nd="1"/>
        <i x="13" nd="1"/>
        <i x="1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2" xr10:uid="{D7574311-C187-6241-A1DF-5CD76CD77EE2}" sourceName="Nombre">
  <pivotTables>
    <pivotTable tabId="8" name="TablaDinámica28"/>
    <pivotTable tabId="8" name="TablaDinámica32"/>
    <pivotTable tabId="8" name="TablaDinámica51"/>
  </pivotTables>
  <data>
    <tabular pivotCacheId="1">
      <items count="7">
        <i x="6" s="1"/>
        <i x="0" s="1"/>
        <i x="1" s="1"/>
        <i x="2" s="1"/>
        <i x="3" s="1"/>
        <i x="4" s="1"/>
        <i x="5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3" xr10:uid="{93766875-CF2F-7543-A17F-447CEE09DAD0}" sourceName="Nombre">
  <pivotTables>
    <pivotTable tabId="9" name="TablaDinámica5"/>
  </pivotTables>
  <data>
    <tabular pivotCacheId="2022773119">
      <items count="8">
        <i x="0" s="1"/>
        <i x="3" s="1"/>
        <i x="4" s="1"/>
        <i x="5" s="1"/>
        <i x="1" s="1"/>
        <i x="2" s="1"/>
        <i x="6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1" xr10:uid="{67021225-3A59-F845-91E8-A6D2130015EE}" sourceName="Semana">
  <pivotTables>
    <pivotTable tabId="9" name="TablaDinámica5"/>
  </pivotTables>
  <data>
    <tabular pivotCacheId="2022773119">
      <items count="5">
        <i x="0"/>
        <i x="1"/>
        <i x="2"/>
        <i x="3" s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31" xr10:uid="{76380474-D94E-E44D-90F5-A7EC9280B8B1}" sourceName="Nombre">
  <pivotTables>
    <pivotTable tabId="10" name="TablaDinámica7"/>
  </pivotTables>
  <data>
    <tabular pivotCacheId="2022773119">
      <items count="8">
        <i x="0"/>
        <i x="3"/>
        <i x="4" s="1"/>
        <i x="5"/>
        <i x="1"/>
        <i x="2"/>
        <i x="6"/>
        <i x="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3" xr10:uid="{EDD79F6F-13E6-0746-9D6D-EFCD7950289D}" cache="SegmentaciónDeDatos_Nombre3" caption="Nombre" rowHeight="251883"/>
  <slicer name="Semana 1" xr10:uid="{6EC79F06-5DE6-754C-B721-A4DDAEFA7AEC}" cache="SegmentaciónDeDatos_Semana1" caption="Semana" columnCount="4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4" xr10:uid="{74AE2BC4-B3C9-ED41-8DF8-17ED0C1DE12B}" cache="SegmentaciónDeDatos_Nombre31" caption="Nombre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mana" xr10:uid="{00000000-0014-0000-FFFF-FFFF01000000}" cache="SegmentaciónDeDatos_Semana" caption="Semana" columnCount="5" rowHeight="251883"/>
  <slicer name="Nombre" xr10:uid="{00000000-0014-0000-FFFF-FFFF02000000}" cache="SegmentaciónDeDatos_Nombre" caption="Nombre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9449C8A6-793E-E142-B8B1-00CF95127E39}" cache="SegmentaciónDeDatos_Tipo" caption="Tipo" style="SlicerStyleLight6" rowHeight="251883"/>
  <slicer name="Nombre 1" xr10:uid="{7DE9FBFB-C3DF-454C-9105-286DF0D57427}" cache="SegmentaciónDeDatos_Nombre1" caption="Nombre" style="SlicerStyleLight6" rowHeight="251883"/>
  <slicer name="Tipo 1" xr10:uid="{B1A1C43A-2A6E-D341-A1E1-7BDBC1D9085B}" cache="SegmentaciónDeDatos_Tipo1" caption="Tipo" rowHeight="251883"/>
  <slicer name="Nombre 2" xr10:uid="{74A06B67-90D0-2C4F-8823-DE3837241FCB}" cache="SegmentaciónDeDatos_Nombre2" caption="Nombre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979C32-BBB6-9E47-B2D9-34335980FFED}" name="Tabla3" displayName="Tabla3" ref="A3:L60" totalsRowShown="0">
  <autoFilter ref="A3:L60" xr:uid="{9E5195A0-FE66-784F-B003-A5250C8BD3E2}"/>
  <tableColumns count="12">
    <tableColumn id="1" xr3:uid="{2ED5C041-5DB7-F942-9931-A815E104246A}" name="Nombre"/>
    <tableColumn id="2" xr3:uid="{0AFD87BF-0D56-EB43-8796-314D284810AB}" name="Planeadas"/>
    <tableColumn id="3" xr3:uid="{02A36E32-89D2-4E41-9805-CDBA7C9511E2}" name="Sin iniciar"/>
    <tableColumn id="4" xr3:uid="{2DF78AFB-F712-5F42-9B24-93D2BC23EBEF}" name="En progreso"/>
    <tableColumn id="5" xr3:uid="{34CC196A-95C9-5645-9F8E-378F54FBA041}" name="Completas"/>
    <tableColumn id="6" xr3:uid="{4E9C9290-0DBD-1D4D-9F29-C9446B10CEF6}" name="Tarde"/>
    <tableColumn id="7" xr3:uid="{EAADB625-9582-F54E-A5DE-EF519D7490AD}" name="Sin logs"/>
    <tableColumn id="8" xr3:uid="{92B42F88-29E5-B84B-BEF7-DBF66869A1F7}" name="Estimado"/>
    <tableColumn id="9" xr3:uid="{996A2A03-D4F8-6349-9327-43DD933A4624}" name="Registrado"/>
    <tableColumn id="10" xr3:uid="{235CBD68-24D0-1E4F-ADDC-8E6D0A107359}" name="Estimado [h:mm]" dataDxfId="31">
      <calculatedColumnFormula>Tabla3[[#This Row],[Estimado]]/(24*60)</calculatedColumnFormula>
    </tableColumn>
    <tableColumn id="11" xr3:uid="{C7FB5D77-5D10-5C46-840A-7365349FD27A}" name="Registrado [h:mm]" dataDxfId="30">
      <calculatedColumnFormula>Tabla3[[#This Row],[Registrado]]/(24*60)</calculatedColumnFormula>
    </tableColumn>
    <tableColumn id="12" xr3:uid="{694EABAE-DCBD-BE43-BB23-9BB25578C0E4}" name="Seman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ersona" displayName="Persona" ref="A1:D421" totalsRowShown="0">
  <autoFilter ref="A1:D421" xr:uid="{00000000-0009-0000-0100-000001000000}"/>
  <tableColumns count="4">
    <tableColumn id="1" xr3:uid="{00000000-0010-0000-0000-000001000000}" name="Tipo"/>
    <tableColumn id="2" xr3:uid="{00000000-0010-0000-0000-000002000000}" name="Nombre"/>
    <tableColumn id="3" xr3:uid="{00000000-0010-0000-0000-000003000000}" name="Semana"/>
    <tableColumn id="4" xr3:uid="{00000000-0010-0000-0000-000004000000}" name="#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D83ED-5C3D-E542-85F9-E42D22120FD3}" name="Persona3" displayName="Persona3" ref="A1:D421" totalsRowShown="0">
  <autoFilter ref="A1:D421" xr:uid="{00000000-0009-0000-0100-000001000000}"/>
  <tableColumns count="4">
    <tableColumn id="1" xr3:uid="{8A4ACC98-282D-BD4C-8358-B6E87A94EBB1}" name="Tipo"/>
    <tableColumn id="2" xr3:uid="{B9A7E407-E3F6-734C-BAFD-8F93659893CF}" name="Nombre"/>
    <tableColumn id="3" xr3:uid="{19C1535F-FA8E-1046-93E7-E90D2A6A3F6A}" name="Semana"/>
    <tableColumn id="4" xr3:uid="{F1596D3F-4DDC-5C4A-B386-C0B181C5D8F3}" name="#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Instalación integrada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microsoft.com/office/2007/relationships/slicer" Target="../slicers/slicer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4.xml"/><Relationship Id="rId3" Type="http://schemas.openxmlformats.org/officeDocument/2006/relationships/pivotTable" Target="../pivotTables/pivotTable8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9A61F-2841-E54B-A3C9-77CF415329F7}">
  <dimension ref="A1:Z60"/>
  <sheetViews>
    <sheetView showGridLines="0" topLeftCell="N1" workbookViewId="0">
      <selection activeCell="M4" sqref="A1:M1048576"/>
    </sheetView>
  </sheetViews>
  <sheetFormatPr baseColWidth="10" defaultRowHeight="16" x14ac:dyDescent="0.2"/>
  <cols>
    <col min="1" max="1" width="10.83203125" hidden="1" customWidth="1"/>
    <col min="2" max="2" width="11.83203125" hidden="1" customWidth="1"/>
    <col min="3" max="3" width="11.5" hidden="1" customWidth="1"/>
    <col min="4" max="4" width="13.1640625" hidden="1" customWidth="1"/>
    <col min="5" max="5" width="12.1640625" hidden="1" customWidth="1"/>
    <col min="6" max="7" width="10.83203125" hidden="1" customWidth="1"/>
    <col min="8" max="8" width="11.1640625" hidden="1" customWidth="1"/>
    <col min="9" max="9" width="12.33203125" hidden="1" customWidth="1"/>
    <col min="10" max="12" width="10.83203125" hidden="1" customWidth="1"/>
    <col min="13" max="13" width="24.6640625" hidden="1" customWidth="1"/>
    <col min="14" max="14" width="21.5" bestFit="1" customWidth="1"/>
    <col min="15" max="15" width="17.5" bestFit="1" customWidth="1"/>
    <col min="16" max="16" width="21" bestFit="1" customWidth="1"/>
    <col min="17" max="17" width="30.33203125" bestFit="1" customWidth="1"/>
    <col min="18" max="18" width="22.1640625" bestFit="1" customWidth="1"/>
    <col min="19" max="19" width="29.6640625" bestFit="1" customWidth="1"/>
    <col min="20" max="21" width="12" bestFit="1" customWidth="1"/>
    <col min="22" max="26" width="24.5" bestFit="1" customWidth="1"/>
    <col min="27" max="27" width="22.1640625" bestFit="1" customWidth="1"/>
    <col min="28" max="28" width="21.83203125" bestFit="1" customWidth="1"/>
  </cols>
  <sheetData>
    <row r="1" spans="1:26" x14ac:dyDescent="0.2"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x14ac:dyDescent="0.2"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x14ac:dyDescent="0.2">
      <c r="A3" t="s">
        <v>1</v>
      </c>
      <c r="B3" t="s">
        <v>135</v>
      </c>
      <c r="C3" t="s">
        <v>136</v>
      </c>
      <c r="D3" t="s">
        <v>137</v>
      </c>
      <c r="E3" t="s">
        <v>138</v>
      </c>
      <c r="F3" t="s">
        <v>139</v>
      </c>
      <c r="G3" t="s">
        <v>140</v>
      </c>
      <c r="H3" t="s">
        <v>141</v>
      </c>
      <c r="I3" t="s">
        <v>142</v>
      </c>
      <c r="J3" t="s">
        <v>143</v>
      </c>
      <c r="K3" t="s">
        <v>144</v>
      </c>
      <c r="L3" t="s">
        <v>2</v>
      </c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x14ac:dyDescent="0.2">
      <c r="A4" t="s">
        <v>154</v>
      </c>
      <c r="B4">
        <v>4</v>
      </c>
      <c r="C4">
        <v>0</v>
      </c>
      <c r="D4">
        <v>4</v>
      </c>
      <c r="E4">
        <v>0</v>
      </c>
      <c r="F4">
        <v>0</v>
      </c>
      <c r="G4">
        <v>0</v>
      </c>
      <c r="H4">
        <v>120</v>
      </c>
      <c r="I4">
        <v>0</v>
      </c>
      <c r="J4">
        <f>Tabla3[[#This Row],[Estimado]]/(24*60)</f>
        <v>8.3333333333333329E-2</v>
      </c>
      <c r="K4">
        <f>Tabla3[[#This Row],[Registrado]]/(24*60)</f>
        <v>0</v>
      </c>
      <c r="L4">
        <v>8</v>
      </c>
      <c r="M4" s="23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spans="1:26" x14ac:dyDescent="0.2">
      <c r="A5" t="s">
        <v>155</v>
      </c>
      <c r="B5">
        <v>4</v>
      </c>
      <c r="C5">
        <v>0</v>
      </c>
      <c r="D5">
        <v>4</v>
      </c>
      <c r="E5">
        <v>0</v>
      </c>
      <c r="F5">
        <v>0</v>
      </c>
      <c r="G5">
        <v>0</v>
      </c>
      <c r="H5">
        <v>120</v>
      </c>
      <c r="I5">
        <v>0</v>
      </c>
      <c r="J5">
        <f>Tabla3[[#This Row],[Estimado]]/(24*60)</f>
        <v>8.3333333333333329E-2</v>
      </c>
      <c r="K5">
        <f>Tabla3[[#This Row],[Registrado]]/(24*60)</f>
        <v>0</v>
      </c>
      <c r="L5">
        <v>8</v>
      </c>
    </row>
    <row r="6" spans="1:26" x14ac:dyDescent="0.2">
      <c r="A6" t="s">
        <v>156</v>
      </c>
      <c r="B6">
        <v>3</v>
      </c>
      <c r="C6">
        <v>0</v>
      </c>
      <c r="D6">
        <v>3</v>
      </c>
      <c r="E6">
        <v>0</v>
      </c>
      <c r="F6">
        <v>0</v>
      </c>
      <c r="G6">
        <v>0</v>
      </c>
      <c r="H6">
        <v>120</v>
      </c>
      <c r="I6">
        <v>0</v>
      </c>
      <c r="J6">
        <f>Tabla3[[#This Row],[Estimado]]/(24*60)</f>
        <v>8.3333333333333329E-2</v>
      </c>
      <c r="K6">
        <f>Tabla3[[#This Row],[Registrado]]/(24*60)</f>
        <v>0</v>
      </c>
      <c r="L6">
        <v>8</v>
      </c>
    </row>
    <row r="7" spans="1:26" hidden="1" x14ac:dyDescent="0.2">
      <c r="A7" t="s">
        <v>157</v>
      </c>
      <c r="B7">
        <v>3</v>
      </c>
      <c r="C7">
        <v>0</v>
      </c>
      <c r="D7">
        <v>1</v>
      </c>
      <c r="E7">
        <v>2</v>
      </c>
      <c r="F7">
        <v>0</v>
      </c>
      <c r="G7">
        <v>2</v>
      </c>
      <c r="H7">
        <v>120</v>
      </c>
      <c r="I7">
        <v>0</v>
      </c>
      <c r="J7">
        <f>Tabla3[[#This Row],[Estimado]]/(24*60)</f>
        <v>8.3333333333333329E-2</v>
      </c>
      <c r="K7">
        <f>Tabla3[[#This Row],[Registrado]]/(24*60)</f>
        <v>0</v>
      </c>
      <c r="L7">
        <v>8</v>
      </c>
      <c r="M7" s="4" t="s">
        <v>2</v>
      </c>
      <c r="N7" s="5">
        <v>11</v>
      </c>
      <c r="O7" s="6">
        <f>VLOOKUP(N7,M19:N27,2)</f>
        <v>43563</v>
      </c>
    </row>
    <row r="8" spans="1:26" x14ac:dyDescent="0.2">
      <c r="A8" t="s">
        <v>158</v>
      </c>
      <c r="B8">
        <v>3</v>
      </c>
      <c r="C8">
        <v>0</v>
      </c>
      <c r="D8">
        <v>3</v>
      </c>
      <c r="E8">
        <v>0</v>
      </c>
      <c r="F8">
        <v>0</v>
      </c>
      <c r="G8">
        <v>0</v>
      </c>
      <c r="H8">
        <v>120</v>
      </c>
      <c r="I8">
        <v>0</v>
      </c>
      <c r="J8">
        <f>Tabla3[[#This Row],[Estimado]]/(24*60)</f>
        <v>8.3333333333333329E-2</v>
      </c>
      <c r="K8">
        <f>Tabla3[[#This Row],[Registrado]]/(24*60)</f>
        <v>0</v>
      </c>
      <c r="L8">
        <v>8</v>
      </c>
    </row>
    <row r="9" spans="1:26" x14ac:dyDescent="0.2">
      <c r="A9" t="s">
        <v>159</v>
      </c>
      <c r="B9">
        <v>2</v>
      </c>
      <c r="C9">
        <v>0</v>
      </c>
      <c r="D9">
        <v>0</v>
      </c>
      <c r="E9">
        <v>2</v>
      </c>
      <c r="F9">
        <v>0</v>
      </c>
      <c r="G9">
        <v>2</v>
      </c>
      <c r="H9">
        <v>120</v>
      </c>
      <c r="I9">
        <v>0</v>
      </c>
      <c r="J9">
        <f>Tabla3[[#This Row],[Estimado]]/(24*60)</f>
        <v>8.3333333333333329E-2</v>
      </c>
      <c r="K9">
        <f>Tabla3[[#This Row],[Registrado]]/(24*60)</f>
        <v>0</v>
      </c>
      <c r="L9">
        <v>8</v>
      </c>
      <c r="N9" s="4" t="s">
        <v>31</v>
      </c>
    </row>
    <row r="10" spans="1:26" x14ac:dyDescent="0.2">
      <c r="A10" t="s">
        <v>154</v>
      </c>
      <c r="B10">
        <v>1</v>
      </c>
      <c r="C10">
        <v>0</v>
      </c>
      <c r="D10">
        <v>1</v>
      </c>
      <c r="E10">
        <v>0</v>
      </c>
      <c r="F10">
        <v>0</v>
      </c>
      <c r="G10">
        <v>0</v>
      </c>
      <c r="H10">
        <v>60</v>
      </c>
      <c r="I10">
        <v>0</v>
      </c>
      <c r="J10" s="3">
        <f>Tabla3[[#This Row],[Estimado]]/(24*60)</f>
        <v>4.1666666666666664E-2</v>
      </c>
      <c r="K10" s="3">
        <f>Tabla3[[#This Row],[Registrado]]/(24*60)</f>
        <v>0</v>
      </c>
      <c r="L10">
        <v>8</v>
      </c>
      <c r="M10" s="4" t="s">
        <v>145</v>
      </c>
      <c r="N10" t="s">
        <v>154</v>
      </c>
      <c r="O10" t="s">
        <v>155</v>
      </c>
      <c r="P10" t="s">
        <v>156</v>
      </c>
      <c r="Q10" t="s">
        <v>157</v>
      </c>
      <c r="R10" t="s">
        <v>158</v>
      </c>
      <c r="S10" t="s">
        <v>159</v>
      </c>
      <c r="T10" t="s">
        <v>30</v>
      </c>
    </row>
    <row r="11" spans="1:26" x14ac:dyDescent="0.2">
      <c r="A11" t="s">
        <v>155</v>
      </c>
      <c r="B11">
        <v>1</v>
      </c>
      <c r="C11">
        <v>0</v>
      </c>
      <c r="D11">
        <v>1</v>
      </c>
      <c r="E11">
        <v>0</v>
      </c>
      <c r="F11">
        <v>0</v>
      </c>
      <c r="G11">
        <v>0</v>
      </c>
      <c r="H11">
        <v>60</v>
      </c>
      <c r="I11">
        <v>0</v>
      </c>
      <c r="J11" s="3">
        <f>Tabla3[[#This Row],[Estimado]]/(24*60)</f>
        <v>4.1666666666666664E-2</v>
      </c>
      <c r="K11" s="3">
        <f>Tabla3[[#This Row],[Registrado]]/(24*60)</f>
        <v>0</v>
      </c>
      <c r="L11">
        <v>8</v>
      </c>
      <c r="M11" s="5" t="s">
        <v>146</v>
      </c>
      <c r="N11" s="3">
        <v>4</v>
      </c>
      <c r="O11" s="3">
        <v>4</v>
      </c>
      <c r="P11" s="3">
        <v>2</v>
      </c>
      <c r="Q11" s="3">
        <v>5</v>
      </c>
      <c r="R11" s="3">
        <v>4</v>
      </c>
      <c r="S11" s="3">
        <v>2</v>
      </c>
      <c r="T11" s="3">
        <v>21</v>
      </c>
    </row>
    <row r="12" spans="1:26" x14ac:dyDescent="0.2">
      <c r="A12" t="s">
        <v>156</v>
      </c>
      <c r="B12">
        <v>1</v>
      </c>
      <c r="C12">
        <v>0</v>
      </c>
      <c r="D12">
        <v>1</v>
      </c>
      <c r="E12">
        <v>0</v>
      </c>
      <c r="F12">
        <v>0</v>
      </c>
      <c r="G12">
        <v>0</v>
      </c>
      <c r="H12">
        <v>60</v>
      </c>
      <c r="I12">
        <v>0</v>
      </c>
      <c r="J12" s="3">
        <f>Tabla3[[#This Row],[Estimado]]/(24*60)</f>
        <v>4.1666666666666664E-2</v>
      </c>
      <c r="K12" s="3">
        <f>Tabla3[[#This Row],[Registrado]]/(24*60)</f>
        <v>0</v>
      </c>
      <c r="L12">
        <v>8</v>
      </c>
      <c r="M12" s="5" t="s">
        <v>147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</row>
    <row r="13" spans="1:26" x14ac:dyDescent="0.2">
      <c r="A13" t="s">
        <v>157</v>
      </c>
      <c r="B13">
        <v>1</v>
      </c>
      <c r="C13">
        <v>0</v>
      </c>
      <c r="D13">
        <v>0</v>
      </c>
      <c r="E13">
        <v>1</v>
      </c>
      <c r="F13">
        <v>1</v>
      </c>
      <c r="G13">
        <v>0</v>
      </c>
      <c r="H13">
        <v>60</v>
      </c>
      <c r="I13">
        <v>0</v>
      </c>
      <c r="J13" s="3">
        <f>Tabla3[[#This Row],[Estimado]]/(24*60)</f>
        <v>4.1666666666666664E-2</v>
      </c>
      <c r="K13" s="3">
        <f>Tabla3[[#This Row],[Registrado]]/(24*60)</f>
        <v>0</v>
      </c>
      <c r="L13">
        <v>8</v>
      </c>
      <c r="M13" s="5" t="s">
        <v>148</v>
      </c>
      <c r="N13" s="3">
        <v>4</v>
      </c>
      <c r="O13" s="3">
        <v>3</v>
      </c>
      <c r="P13" s="3">
        <v>0</v>
      </c>
      <c r="Q13" s="3">
        <v>5</v>
      </c>
      <c r="R13" s="3">
        <v>1</v>
      </c>
      <c r="S13" s="3">
        <v>1</v>
      </c>
      <c r="T13" s="3">
        <v>14</v>
      </c>
    </row>
    <row r="14" spans="1:26" x14ac:dyDescent="0.2">
      <c r="A14" t="s">
        <v>158</v>
      </c>
      <c r="B14">
        <v>1</v>
      </c>
      <c r="C14">
        <v>0</v>
      </c>
      <c r="D14">
        <v>0</v>
      </c>
      <c r="E14">
        <v>1</v>
      </c>
      <c r="F14">
        <v>1</v>
      </c>
      <c r="G14">
        <v>0</v>
      </c>
      <c r="H14">
        <v>60</v>
      </c>
      <c r="I14">
        <v>0</v>
      </c>
      <c r="J14" s="3">
        <f>Tabla3[[#This Row],[Estimado]]/(24*60)</f>
        <v>4.1666666666666664E-2</v>
      </c>
      <c r="K14" s="3">
        <f>Tabla3[[#This Row],[Registrado]]/(24*60)</f>
        <v>0</v>
      </c>
      <c r="L14">
        <v>8</v>
      </c>
      <c r="M14" s="7" t="s">
        <v>149</v>
      </c>
      <c r="N14" s="8">
        <v>0</v>
      </c>
      <c r="O14" s="8">
        <v>1</v>
      </c>
      <c r="P14" s="8">
        <v>2</v>
      </c>
      <c r="Q14" s="8">
        <v>0</v>
      </c>
      <c r="R14" s="8">
        <v>3</v>
      </c>
      <c r="S14" s="8">
        <v>1</v>
      </c>
      <c r="T14" s="8">
        <v>7</v>
      </c>
    </row>
    <row r="15" spans="1:26" x14ac:dyDescent="0.2">
      <c r="A15" t="s">
        <v>159</v>
      </c>
      <c r="B15">
        <v>1</v>
      </c>
      <c r="C15">
        <v>0</v>
      </c>
      <c r="D15">
        <v>0</v>
      </c>
      <c r="E15">
        <v>1</v>
      </c>
      <c r="F15">
        <v>1</v>
      </c>
      <c r="G15">
        <v>0</v>
      </c>
      <c r="H15">
        <v>60</v>
      </c>
      <c r="I15">
        <v>0</v>
      </c>
      <c r="J15" s="3">
        <f>Tabla3[[#This Row],[Estimado]]/(24*60)</f>
        <v>4.1666666666666664E-2</v>
      </c>
      <c r="K15" s="3">
        <f>Tabla3[[#This Row],[Registrado]]/(24*60)</f>
        <v>0</v>
      </c>
      <c r="L15">
        <v>8</v>
      </c>
      <c r="M15" s="5" t="s">
        <v>150</v>
      </c>
      <c r="N15" s="3">
        <v>0</v>
      </c>
      <c r="O15" s="3">
        <v>1</v>
      </c>
      <c r="P15" s="3">
        <v>0</v>
      </c>
      <c r="Q15" s="3">
        <v>0</v>
      </c>
      <c r="R15" s="3">
        <v>2</v>
      </c>
      <c r="S15" s="3">
        <v>0</v>
      </c>
      <c r="T15" s="3">
        <v>3</v>
      </c>
    </row>
    <row r="16" spans="1:26" x14ac:dyDescent="0.2">
      <c r="A16" t="s">
        <v>160</v>
      </c>
      <c r="B16">
        <v>1</v>
      </c>
      <c r="C16">
        <v>0</v>
      </c>
      <c r="D16">
        <v>0</v>
      </c>
      <c r="E16">
        <v>1</v>
      </c>
      <c r="F16">
        <v>1</v>
      </c>
      <c r="G16">
        <v>0</v>
      </c>
      <c r="H16">
        <v>60</v>
      </c>
      <c r="I16">
        <v>0</v>
      </c>
      <c r="J16" s="3">
        <f>Tabla3[[#This Row],[Estimado]]/(24*60)</f>
        <v>4.1666666666666664E-2</v>
      </c>
      <c r="K16" s="3">
        <f>Tabla3[[#This Row],[Registrado]]/(24*60)</f>
        <v>0</v>
      </c>
      <c r="L16">
        <v>8</v>
      </c>
      <c r="M16" s="5" t="s">
        <v>151</v>
      </c>
      <c r="N16" s="3">
        <v>0</v>
      </c>
      <c r="O16" s="3">
        <v>0</v>
      </c>
      <c r="P16" s="3">
        <v>2</v>
      </c>
      <c r="Q16" s="3">
        <v>0</v>
      </c>
      <c r="R16" s="3">
        <v>1</v>
      </c>
      <c r="S16" s="3">
        <v>1</v>
      </c>
      <c r="T16" s="3">
        <v>4</v>
      </c>
    </row>
    <row r="17" spans="1:20" x14ac:dyDescent="0.2">
      <c r="A17" t="s">
        <v>154</v>
      </c>
      <c r="B17">
        <v>1</v>
      </c>
      <c r="C17">
        <v>0</v>
      </c>
      <c r="D17">
        <v>1</v>
      </c>
      <c r="E17">
        <v>0</v>
      </c>
      <c r="F17">
        <v>0</v>
      </c>
      <c r="G17">
        <v>0</v>
      </c>
      <c r="H17">
        <v>60</v>
      </c>
      <c r="I17">
        <v>0</v>
      </c>
      <c r="J17" s="3">
        <f>Tabla3[[#This Row],[Estimado]]/(24*60)</f>
        <v>4.1666666666666664E-2</v>
      </c>
      <c r="K17" s="3">
        <f>Tabla3[[#This Row],[Registrado]]/(24*60)</f>
        <v>0</v>
      </c>
      <c r="L17">
        <v>9</v>
      </c>
      <c r="M17" s="7" t="s">
        <v>152</v>
      </c>
      <c r="N17" s="15">
        <v>0.29166666666666663</v>
      </c>
      <c r="O17" s="15">
        <v>0.25</v>
      </c>
      <c r="P17" s="15">
        <v>0.125</v>
      </c>
      <c r="Q17" s="15">
        <v>0.29166666666666663</v>
      </c>
      <c r="R17" s="15">
        <v>0.29166666666666663</v>
      </c>
      <c r="S17" s="15">
        <v>0.125</v>
      </c>
      <c r="T17" s="15">
        <v>1.375</v>
      </c>
    </row>
    <row r="18" spans="1:20" x14ac:dyDescent="0.2">
      <c r="A18" t="s">
        <v>157</v>
      </c>
      <c r="B18">
        <v>1</v>
      </c>
      <c r="C18">
        <v>0</v>
      </c>
      <c r="D18">
        <v>1</v>
      </c>
      <c r="E18">
        <v>0</v>
      </c>
      <c r="F18">
        <v>0</v>
      </c>
      <c r="G18">
        <v>0</v>
      </c>
      <c r="H18">
        <v>60</v>
      </c>
      <c r="I18">
        <v>0</v>
      </c>
      <c r="J18" s="3">
        <f>Tabla3[[#This Row],[Estimado]]/(24*60)</f>
        <v>4.1666666666666664E-2</v>
      </c>
      <c r="K18" s="3">
        <f>Tabla3[[#This Row],[Registrado]]/(24*60)</f>
        <v>0</v>
      </c>
      <c r="L18">
        <v>9</v>
      </c>
      <c r="M18" s="5" t="s">
        <v>153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</row>
    <row r="19" spans="1:20" x14ac:dyDescent="0.2">
      <c r="A19" t="s">
        <v>158</v>
      </c>
      <c r="B19">
        <v>1</v>
      </c>
      <c r="C19">
        <v>0</v>
      </c>
      <c r="D19">
        <v>1</v>
      </c>
      <c r="E19">
        <v>0</v>
      </c>
      <c r="F19">
        <v>0</v>
      </c>
      <c r="G19">
        <v>0</v>
      </c>
      <c r="H19">
        <v>60</v>
      </c>
      <c r="I19">
        <v>0</v>
      </c>
      <c r="J19" s="3">
        <f>Tabla3[[#This Row],[Estimado]]/(24*60)</f>
        <v>4.1666666666666664E-2</v>
      </c>
      <c r="K19" s="3">
        <f>Tabla3[[#This Row],[Registrado]]/(24*60)</f>
        <v>0</v>
      </c>
      <c r="L19">
        <v>9</v>
      </c>
      <c r="M19" s="24">
        <v>8</v>
      </c>
      <c r="N19" s="25">
        <v>43543</v>
      </c>
    </row>
    <row r="20" spans="1:20" x14ac:dyDescent="0.2">
      <c r="A20" t="s">
        <v>159</v>
      </c>
      <c r="B20">
        <v>1</v>
      </c>
      <c r="C20">
        <v>0</v>
      </c>
      <c r="D20">
        <v>0</v>
      </c>
      <c r="E20">
        <v>1</v>
      </c>
      <c r="F20">
        <v>0</v>
      </c>
      <c r="G20">
        <v>1</v>
      </c>
      <c r="H20">
        <v>60</v>
      </c>
      <c r="I20">
        <v>0</v>
      </c>
      <c r="J20" s="3">
        <f>Tabla3[[#This Row],[Estimado]]/(24*60)</f>
        <v>4.1666666666666664E-2</v>
      </c>
      <c r="K20" s="3">
        <f>Tabla3[[#This Row],[Registrado]]/(24*60)</f>
        <v>0</v>
      </c>
      <c r="L20">
        <v>9</v>
      </c>
      <c r="M20" s="24">
        <v>9</v>
      </c>
      <c r="N20" s="25">
        <v>43549</v>
      </c>
    </row>
    <row r="21" spans="1:20" x14ac:dyDescent="0.2">
      <c r="A21" t="s">
        <v>155</v>
      </c>
      <c r="B21">
        <v>1</v>
      </c>
      <c r="C21">
        <v>0</v>
      </c>
      <c r="D21">
        <v>0</v>
      </c>
      <c r="E21">
        <v>1</v>
      </c>
      <c r="F21">
        <v>1</v>
      </c>
      <c r="G21">
        <v>0</v>
      </c>
      <c r="H21">
        <v>60</v>
      </c>
      <c r="I21">
        <v>0</v>
      </c>
      <c r="J21" s="3">
        <f>Tabla3[[#This Row],[Estimado]]/(24*60)</f>
        <v>4.1666666666666664E-2</v>
      </c>
      <c r="K21" s="3">
        <f>Tabla3[[#This Row],[Registrado]]/(24*60)</f>
        <v>0</v>
      </c>
      <c r="L21">
        <v>9</v>
      </c>
      <c r="M21" s="24">
        <v>10</v>
      </c>
      <c r="N21" s="25">
        <v>43557</v>
      </c>
    </row>
    <row r="22" spans="1:20" x14ac:dyDescent="0.2">
      <c r="A22" t="s">
        <v>156</v>
      </c>
      <c r="B22">
        <v>1</v>
      </c>
      <c r="C22">
        <v>0</v>
      </c>
      <c r="D22">
        <v>1</v>
      </c>
      <c r="E22">
        <v>0</v>
      </c>
      <c r="F22">
        <v>0</v>
      </c>
      <c r="G22">
        <v>0</v>
      </c>
      <c r="H22">
        <v>60</v>
      </c>
      <c r="I22">
        <v>0</v>
      </c>
      <c r="J22" s="3">
        <f>Tabla3[[#This Row],[Estimado]]/(24*60)</f>
        <v>4.1666666666666664E-2</v>
      </c>
      <c r="K22" s="3">
        <f>Tabla3[[#This Row],[Registrado]]/(24*60)</f>
        <v>0</v>
      </c>
      <c r="L22">
        <v>9</v>
      </c>
      <c r="M22" s="24">
        <v>11</v>
      </c>
      <c r="N22" s="25">
        <v>43563</v>
      </c>
    </row>
    <row r="23" spans="1:20" x14ac:dyDescent="0.2">
      <c r="A23" t="s">
        <v>154</v>
      </c>
      <c r="B23">
        <v>1</v>
      </c>
      <c r="C23">
        <v>0</v>
      </c>
      <c r="D23">
        <v>1</v>
      </c>
      <c r="E23">
        <v>0</v>
      </c>
      <c r="F23">
        <v>0</v>
      </c>
      <c r="G23">
        <v>0</v>
      </c>
      <c r="H23">
        <v>120</v>
      </c>
      <c r="I23">
        <v>0</v>
      </c>
      <c r="J23" s="3">
        <f>Tabla3[[#This Row],[Estimado]]/(24*60)</f>
        <v>8.3333333333333329E-2</v>
      </c>
      <c r="K23" s="3">
        <f>Tabla3[[#This Row],[Registrado]]/(24*60)</f>
        <v>0</v>
      </c>
      <c r="L23">
        <v>9</v>
      </c>
    </row>
    <row r="24" spans="1:20" x14ac:dyDescent="0.2">
      <c r="A24" t="s">
        <v>157</v>
      </c>
      <c r="B24">
        <v>1</v>
      </c>
      <c r="C24">
        <v>0</v>
      </c>
      <c r="D24">
        <v>1</v>
      </c>
      <c r="E24">
        <v>0</v>
      </c>
      <c r="F24">
        <v>0</v>
      </c>
      <c r="G24">
        <v>0</v>
      </c>
      <c r="H24">
        <v>120</v>
      </c>
      <c r="I24">
        <v>0</v>
      </c>
      <c r="J24" s="3">
        <f>Tabla3[[#This Row],[Estimado]]/(24*60)</f>
        <v>8.3333333333333329E-2</v>
      </c>
      <c r="K24" s="3">
        <f>Tabla3[[#This Row],[Registrado]]/(24*60)</f>
        <v>0</v>
      </c>
      <c r="L24">
        <v>9</v>
      </c>
    </row>
    <row r="25" spans="1:20" x14ac:dyDescent="0.2">
      <c r="A25" t="s">
        <v>158</v>
      </c>
      <c r="B25">
        <v>1</v>
      </c>
      <c r="C25">
        <v>0</v>
      </c>
      <c r="D25">
        <v>1</v>
      </c>
      <c r="E25">
        <v>0</v>
      </c>
      <c r="F25">
        <v>0</v>
      </c>
      <c r="G25">
        <v>0</v>
      </c>
      <c r="H25">
        <v>120</v>
      </c>
      <c r="I25">
        <v>0</v>
      </c>
      <c r="J25" s="3">
        <f>Tabla3[[#This Row],[Estimado]]/(24*60)</f>
        <v>8.3333333333333329E-2</v>
      </c>
      <c r="K25" s="3">
        <f>Tabla3[[#This Row],[Registrado]]/(24*60)</f>
        <v>0</v>
      </c>
      <c r="L25">
        <v>9</v>
      </c>
    </row>
    <row r="26" spans="1:20" x14ac:dyDescent="0.2">
      <c r="A26" t="s">
        <v>159</v>
      </c>
      <c r="B26">
        <v>1</v>
      </c>
      <c r="C26">
        <v>0</v>
      </c>
      <c r="D26">
        <v>0</v>
      </c>
      <c r="E26">
        <v>1</v>
      </c>
      <c r="F26">
        <v>0</v>
      </c>
      <c r="G26">
        <v>1</v>
      </c>
      <c r="H26">
        <v>120</v>
      </c>
      <c r="I26">
        <v>0</v>
      </c>
      <c r="J26" s="3">
        <f>Tabla3[[#This Row],[Estimado]]/(24*60)</f>
        <v>8.3333333333333329E-2</v>
      </c>
      <c r="K26" s="3">
        <f>Tabla3[[#This Row],[Registrado]]/(24*60)</f>
        <v>0</v>
      </c>
      <c r="L26">
        <v>9</v>
      </c>
    </row>
    <row r="27" spans="1:20" x14ac:dyDescent="0.2">
      <c r="A27" t="s">
        <v>155</v>
      </c>
      <c r="B27">
        <v>1</v>
      </c>
      <c r="C27">
        <v>0</v>
      </c>
      <c r="D27">
        <v>1</v>
      </c>
      <c r="E27">
        <v>0</v>
      </c>
      <c r="F27">
        <v>0</v>
      </c>
      <c r="G27">
        <v>0</v>
      </c>
      <c r="H27">
        <v>120</v>
      </c>
      <c r="I27">
        <v>0</v>
      </c>
      <c r="J27" s="3">
        <f>Tabla3[[#This Row],[Estimado]]/(24*60)</f>
        <v>8.3333333333333329E-2</v>
      </c>
      <c r="K27" s="3">
        <f>Tabla3[[#This Row],[Registrado]]/(24*60)</f>
        <v>0</v>
      </c>
      <c r="L27">
        <v>9</v>
      </c>
    </row>
    <row r="28" spans="1:20" x14ac:dyDescent="0.2">
      <c r="A28" t="s">
        <v>156</v>
      </c>
      <c r="B28">
        <v>1</v>
      </c>
      <c r="C28">
        <v>0</v>
      </c>
      <c r="D28">
        <v>1</v>
      </c>
      <c r="E28">
        <v>0</v>
      </c>
      <c r="F28">
        <v>0</v>
      </c>
      <c r="G28">
        <v>0</v>
      </c>
      <c r="H28">
        <v>120</v>
      </c>
      <c r="I28">
        <v>0</v>
      </c>
      <c r="J28" s="3">
        <f>Tabla3[[#This Row],[Estimado]]/(24*60)</f>
        <v>8.3333333333333329E-2</v>
      </c>
      <c r="K28" s="3">
        <f>Tabla3[[#This Row],[Registrado]]/(24*60)</f>
        <v>0</v>
      </c>
      <c r="L28">
        <v>9</v>
      </c>
    </row>
    <row r="29" spans="1:20" x14ac:dyDescent="0.2">
      <c r="A29" t="s">
        <v>154</v>
      </c>
      <c r="B29">
        <v>1</v>
      </c>
      <c r="C29">
        <v>0</v>
      </c>
      <c r="D29">
        <v>1</v>
      </c>
      <c r="E29">
        <v>0</v>
      </c>
      <c r="F29">
        <v>0</v>
      </c>
      <c r="G29">
        <v>0</v>
      </c>
      <c r="H29">
        <v>60</v>
      </c>
      <c r="I29">
        <v>0</v>
      </c>
      <c r="J29" s="3">
        <f>Tabla3[[#This Row],[Estimado]]/(24*60)</f>
        <v>4.1666666666666664E-2</v>
      </c>
      <c r="K29" s="3">
        <f>Tabla3[[#This Row],[Registrado]]/(24*60)</f>
        <v>0</v>
      </c>
      <c r="L29">
        <v>10</v>
      </c>
    </row>
    <row r="30" spans="1:20" x14ac:dyDescent="0.2">
      <c r="A30" t="s">
        <v>157</v>
      </c>
      <c r="B30">
        <v>1</v>
      </c>
      <c r="C30">
        <v>0</v>
      </c>
      <c r="D30">
        <v>1</v>
      </c>
      <c r="E30">
        <v>0</v>
      </c>
      <c r="F30">
        <v>0</v>
      </c>
      <c r="G30">
        <v>0</v>
      </c>
      <c r="H30">
        <v>60</v>
      </c>
      <c r="I30">
        <v>0</v>
      </c>
      <c r="J30" s="3">
        <f>Tabla3[[#This Row],[Estimado]]/(24*60)</f>
        <v>4.1666666666666664E-2</v>
      </c>
      <c r="K30" s="3">
        <f>Tabla3[[#This Row],[Registrado]]/(24*60)</f>
        <v>0</v>
      </c>
      <c r="L30">
        <v>10</v>
      </c>
    </row>
    <row r="31" spans="1:20" x14ac:dyDescent="0.2">
      <c r="A31" t="s">
        <v>158</v>
      </c>
      <c r="B31">
        <v>1</v>
      </c>
      <c r="C31">
        <v>0</v>
      </c>
      <c r="D31">
        <v>0</v>
      </c>
      <c r="E31">
        <v>1</v>
      </c>
      <c r="F31">
        <v>1</v>
      </c>
      <c r="G31">
        <v>0</v>
      </c>
      <c r="H31">
        <v>60</v>
      </c>
      <c r="I31">
        <v>0</v>
      </c>
      <c r="J31" s="3">
        <f>Tabla3[[#This Row],[Estimado]]/(24*60)</f>
        <v>4.1666666666666664E-2</v>
      </c>
      <c r="K31" s="3">
        <f>Tabla3[[#This Row],[Registrado]]/(24*60)</f>
        <v>0</v>
      </c>
      <c r="L31">
        <v>10</v>
      </c>
    </row>
    <row r="32" spans="1:20" x14ac:dyDescent="0.2">
      <c r="A32" t="s">
        <v>159</v>
      </c>
      <c r="B32">
        <v>1</v>
      </c>
      <c r="C32">
        <v>0</v>
      </c>
      <c r="D32">
        <v>0</v>
      </c>
      <c r="E32">
        <v>1</v>
      </c>
      <c r="F32">
        <v>0</v>
      </c>
      <c r="G32">
        <v>1</v>
      </c>
      <c r="H32">
        <v>60</v>
      </c>
      <c r="I32">
        <v>0</v>
      </c>
      <c r="J32" s="3">
        <f>Tabla3[[#This Row],[Estimado]]/(24*60)</f>
        <v>4.1666666666666664E-2</v>
      </c>
      <c r="K32" s="3">
        <f>Tabla3[[#This Row],[Registrado]]/(24*60)</f>
        <v>0</v>
      </c>
      <c r="L32">
        <v>10</v>
      </c>
    </row>
    <row r="33" spans="1:12" x14ac:dyDescent="0.2">
      <c r="A33" t="s">
        <v>155</v>
      </c>
      <c r="B33">
        <v>1</v>
      </c>
      <c r="C33">
        <v>0</v>
      </c>
      <c r="D33">
        <v>1</v>
      </c>
      <c r="E33">
        <v>0</v>
      </c>
      <c r="F33">
        <v>0</v>
      </c>
      <c r="G33">
        <v>0</v>
      </c>
      <c r="H33">
        <v>60</v>
      </c>
      <c r="I33">
        <v>0</v>
      </c>
      <c r="J33" s="3">
        <f>Tabla3[[#This Row],[Estimado]]/(24*60)</f>
        <v>4.1666666666666664E-2</v>
      </c>
      <c r="K33" s="3">
        <f>Tabla3[[#This Row],[Registrado]]/(24*60)</f>
        <v>0</v>
      </c>
      <c r="L33">
        <v>10</v>
      </c>
    </row>
    <row r="34" spans="1:12" x14ac:dyDescent="0.2">
      <c r="A34" t="s">
        <v>156</v>
      </c>
      <c r="B34">
        <v>1</v>
      </c>
      <c r="C34">
        <v>0</v>
      </c>
      <c r="D34">
        <v>1</v>
      </c>
      <c r="E34">
        <v>0</v>
      </c>
      <c r="F34">
        <v>0</v>
      </c>
      <c r="G34">
        <v>0</v>
      </c>
      <c r="H34">
        <v>60</v>
      </c>
      <c r="I34">
        <v>0</v>
      </c>
      <c r="J34" s="3">
        <f>Tabla3[[#This Row],[Estimado]]/(24*60)</f>
        <v>4.1666666666666664E-2</v>
      </c>
      <c r="K34" s="3">
        <f>Tabla3[[#This Row],[Registrado]]/(24*60)</f>
        <v>0</v>
      </c>
      <c r="L34">
        <v>10</v>
      </c>
    </row>
    <row r="35" spans="1:12" x14ac:dyDescent="0.2">
      <c r="A35" t="s">
        <v>154</v>
      </c>
      <c r="B35">
        <v>1</v>
      </c>
      <c r="C35">
        <v>0</v>
      </c>
      <c r="D35">
        <v>1</v>
      </c>
      <c r="E35">
        <v>0</v>
      </c>
      <c r="F35">
        <v>0</v>
      </c>
      <c r="G35">
        <v>0</v>
      </c>
      <c r="H35">
        <v>120</v>
      </c>
      <c r="I35">
        <v>0</v>
      </c>
      <c r="J35" s="3">
        <f>Tabla3[[#This Row],[Estimado]]/(24*60)</f>
        <v>8.3333333333333329E-2</v>
      </c>
      <c r="K35" s="3">
        <f>Tabla3[[#This Row],[Registrado]]/(24*60)</f>
        <v>0</v>
      </c>
      <c r="L35">
        <v>10</v>
      </c>
    </row>
    <row r="36" spans="1:12" x14ac:dyDescent="0.2">
      <c r="A36" t="s">
        <v>157</v>
      </c>
      <c r="B36">
        <v>1</v>
      </c>
      <c r="C36">
        <v>0</v>
      </c>
      <c r="D36">
        <v>1</v>
      </c>
      <c r="E36">
        <v>0</v>
      </c>
      <c r="F36">
        <v>0</v>
      </c>
      <c r="G36">
        <v>0</v>
      </c>
      <c r="H36">
        <v>120</v>
      </c>
      <c r="I36">
        <v>0</v>
      </c>
      <c r="J36" s="3">
        <f>Tabla3[[#This Row],[Estimado]]/(24*60)</f>
        <v>8.3333333333333329E-2</v>
      </c>
      <c r="K36" s="3">
        <f>Tabla3[[#This Row],[Registrado]]/(24*60)</f>
        <v>0</v>
      </c>
      <c r="L36">
        <v>10</v>
      </c>
    </row>
    <row r="37" spans="1:12" x14ac:dyDescent="0.2">
      <c r="A37" t="s">
        <v>158</v>
      </c>
      <c r="B37">
        <v>1</v>
      </c>
      <c r="C37">
        <v>0</v>
      </c>
      <c r="D37">
        <v>1</v>
      </c>
      <c r="E37">
        <v>0</v>
      </c>
      <c r="F37">
        <v>0</v>
      </c>
      <c r="G37">
        <v>0</v>
      </c>
      <c r="H37">
        <v>120</v>
      </c>
      <c r="I37">
        <v>0</v>
      </c>
      <c r="J37" s="3">
        <f>Tabla3[[#This Row],[Estimado]]/(24*60)</f>
        <v>8.3333333333333329E-2</v>
      </c>
      <c r="K37" s="3">
        <f>Tabla3[[#This Row],[Registrado]]/(24*60)</f>
        <v>0</v>
      </c>
      <c r="L37">
        <v>10</v>
      </c>
    </row>
    <row r="38" spans="1:12" x14ac:dyDescent="0.2">
      <c r="A38" t="s">
        <v>159</v>
      </c>
      <c r="B38">
        <v>1</v>
      </c>
      <c r="C38">
        <v>0</v>
      </c>
      <c r="D38">
        <v>0</v>
      </c>
      <c r="E38">
        <v>1</v>
      </c>
      <c r="F38">
        <v>0</v>
      </c>
      <c r="G38">
        <v>1</v>
      </c>
      <c r="H38">
        <v>120</v>
      </c>
      <c r="I38">
        <v>0</v>
      </c>
      <c r="J38" s="3">
        <f>Tabla3[[#This Row],[Estimado]]/(24*60)</f>
        <v>8.3333333333333329E-2</v>
      </c>
      <c r="K38" s="3">
        <f>Tabla3[[#This Row],[Registrado]]/(24*60)</f>
        <v>0</v>
      </c>
      <c r="L38">
        <v>10</v>
      </c>
    </row>
    <row r="39" spans="1:12" x14ac:dyDescent="0.2">
      <c r="A39" t="s">
        <v>155</v>
      </c>
      <c r="B39">
        <v>1</v>
      </c>
      <c r="C39">
        <v>0</v>
      </c>
      <c r="D39">
        <v>1</v>
      </c>
      <c r="E39">
        <v>0</v>
      </c>
      <c r="F39">
        <v>0</v>
      </c>
      <c r="G39">
        <v>0</v>
      </c>
      <c r="H39">
        <v>120</v>
      </c>
      <c r="I39">
        <v>0</v>
      </c>
      <c r="J39" s="3">
        <f>Tabla3[[#This Row],[Estimado]]/(24*60)</f>
        <v>8.3333333333333329E-2</v>
      </c>
      <c r="K39" s="3">
        <f>Tabla3[[#This Row],[Registrado]]/(24*60)</f>
        <v>0</v>
      </c>
      <c r="L39">
        <v>10</v>
      </c>
    </row>
    <row r="40" spans="1:12" x14ac:dyDescent="0.2">
      <c r="A40" t="s">
        <v>156</v>
      </c>
      <c r="B40">
        <v>1</v>
      </c>
      <c r="C40">
        <v>0</v>
      </c>
      <c r="D40">
        <v>1</v>
      </c>
      <c r="E40">
        <v>0</v>
      </c>
      <c r="F40">
        <v>0</v>
      </c>
      <c r="G40">
        <v>0</v>
      </c>
      <c r="H40">
        <v>120</v>
      </c>
      <c r="I40">
        <v>0</v>
      </c>
      <c r="J40" s="3">
        <f>Tabla3[[#This Row],[Estimado]]/(24*60)</f>
        <v>8.3333333333333329E-2</v>
      </c>
      <c r="K40" s="3">
        <f>Tabla3[[#This Row],[Registrado]]/(24*60)</f>
        <v>0</v>
      </c>
      <c r="L40">
        <v>10</v>
      </c>
    </row>
    <row r="41" spans="1:12" x14ac:dyDescent="0.2">
      <c r="A41" t="s">
        <v>155</v>
      </c>
      <c r="B41">
        <v>1</v>
      </c>
      <c r="C41">
        <v>0</v>
      </c>
      <c r="D41">
        <v>0</v>
      </c>
      <c r="E41">
        <v>1</v>
      </c>
      <c r="F41">
        <v>1</v>
      </c>
      <c r="G41">
        <v>0</v>
      </c>
      <c r="H41">
        <v>120</v>
      </c>
      <c r="I41">
        <v>0</v>
      </c>
      <c r="J41" s="3">
        <f>Tabla3[[#This Row],[Estimado]]/(24*60)</f>
        <v>8.3333333333333329E-2</v>
      </c>
      <c r="K41" s="3">
        <f>Tabla3[[#This Row],[Registrado]]/(24*60)</f>
        <v>0</v>
      </c>
      <c r="L41">
        <v>11</v>
      </c>
    </row>
    <row r="42" spans="1:12" x14ac:dyDescent="0.2">
      <c r="A42" t="s">
        <v>157</v>
      </c>
      <c r="B42">
        <v>1</v>
      </c>
      <c r="C42">
        <v>0</v>
      </c>
      <c r="D42">
        <v>1</v>
      </c>
      <c r="E42">
        <v>0</v>
      </c>
      <c r="F42">
        <v>0</v>
      </c>
      <c r="G42">
        <v>0</v>
      </c>
      <c r="H42">
        <v>120</v>
      </c>
      <c r="I42">
        <v>0</v>
      </c>
      <c r="J42" s="3">
        <f>Tabla3[[#This Row],[Estimado]]/(24*60)</f>
        <v>8.3333333333333329E-2</v>
      </c>
      <c r="K42" s="3">
        <f>Tabla3[[#This Row],[Registrado]]/(24*60)</f>
        <v>0</v>
      </c>
      <c r="L42">
        <v>11</v>
      </c>
    </row>
    <row r="43" spans="1:12" x14ac:dyDescent="0.2">
      <c r="A43" t="s">
        <v>154</v>
      </c>
      <c r="B43">
        <v>1</v>
      </c>
      <c r="C43">
        <v>0</v>
      </c>
      <c r="D43">
        <v>1</v>
      </c>
      <c r="E43">
        <v>0</v>
      </c>
      <c r="F43">
        <v>0</v>
      </c>
      <c r="G43">
        <v>0</v>
      </c>
      <c r="H43">
        <v>120</v>
      </c>
      <c r="I43">
        <v>0</v>
      </c>
      <c r="J43" s="3">
        <f>Tabla3[[#This Row],[Estimado]]/(24*60)</f>
        <v>8.3333333333333329E-2</v>
      </c>
      <c r="K43" s="3">
        <f>Tabla3[[#This Row],[Registrado]]/(24*60)</f>
        <v>0</v>
      </c>
      <c r="L43">
        <v>11</v>
      </c>
    </row>
    <row r="44" spans="1:12" x14ac:dyDescent="0.2">
      <c r="A44" t="s">
        <v>158</v>
      </c>
      <c r="B44">
        <v>1</v>
      </c>
      <c r="C44">
        <v>0</v>
      </c>
      <c r="D44">
        <v>0</v>
      </c>
      <c r="E44">
        <v>1</v>
      </c>
      <c r="F44">
        <v>1</v>
      </c>
      <c r="G44">
        <v>0</v>
      </c>
      <c r="H44">
        <v>120</v>
      </c>
      <c r="I44">
        <v>0</v>
      </c>
      <c r="J44" s="3">
        <f>Tabla3[[#This Row],[Estimado]]/(24*60)</f>
        <v>8.3333333333333329E-2</v>
      </c>
      <c r="K44" s="3">
        <f>Tabla3[[#This Row],[Registrado]]/(24*60)</f>
        <v>0</v>
      </c>
      <c r="L44">
        <v>11</v>
      </c>
    </row>
    <row r="45" spans="1:12" x14ac:dyDescent="0.2">
      <c r="A45" t="s">
        <v>155</v>
      </c>
      <c r="B45">
        <v>1</v>
      </c>
      <c r="C45">
        <v>0</v>
      </c>
      <c r="D45">
        <v>1</v>
      </c>
      <c r="E45">
        <v>0</v>
      </c>
      <c r="F45">
        <v>0</v>
      </c>
      <c r="G45">
        <v>0</v>
      </c>
      <c r="H45">
        <v>60</v>
      </c>
      <c r="I45">
        <v>0</v>
      </c>
      <c r="J45" s="3">
        <f>Tabla3[[#This Row],[Estimado]]/(24*60)</f>
        <v>4.1666666666666664E-2</v>
      </c>
      <c r="K45" s="3">
        <f>Tabla3[[#This Row],[Registrado]]/(24*60)</f>
        <v>0</v>
      </c>
      <c r="L45">
        <v>11</v>
      </c>
    </row>
    <row r="46" spans="1:12" x14ac:dyDescent="0.2">
      <c r="A46" t="s">
        <v>157</v>
      </c>
      <c r="B46">
        <v>2</v>
      </c>
      <c r="C46">
        <v>0</v>
      </c>
      <c r="D46">
        <v>2</v>
      </c>
      <c r="E46">
        <v>0</v>
      </c>
      <c r="F46">
        <v>0</v>
      </c>
      <c r="G46">
        <v>0</v>
      </c>
      <c r="H46">
        <v>120</v>
      </c>
      <c r="I46">
        <v>0</v>
      </c>
      <c r="J46" s="3">
        <f>Tabla3[[#This Row],[Estimado]]/(24*60)</f>
        <v>8.3333333333333329E-2</v>
      </c>
      <c r="K46" s="3">
        <f>Tabla3[[#This Row],[Registrado]]/(24*60)</f>
        <v>0</v>
      </c>
      <c r="L46">
        <v>11</v>
      </c>
    </row>
    <row r="47" spans="1:12" x14ac:dyDescent="0.2">
      <c r="A47" t="s">
        <v>154</v>
      </c>
      <c r="B47">
        <v>1</v>
      </c>
      <c r="C47">
        <v>0</v>
      </c>
      <c r="D47">
        <v>1</v>
      </c>
      <c r="E47">
        <v>0</v>
      </c>
      <c r="F47">
        <v>0</v>
      </c>
      <c r="G47">
        <v>0</v>
      </c>
      <c r="H47">
        <v>120</v>
      </c>
      <c r="I47">
        <v>0</v>
      </c>
      <c r="J47" s="3">
        <f>Tabla3[[#This Row],[Estimado]]/(24*60)</f>
        <v>8.3333333333333329E-2</v>
      </c>
      <c r="K47" s="3">
        <f>Tabla3[[#This Row],[Registrado]]/(24*60)</f>
        <v>0</v>
      </c>
      <c r="L47">
        <v>11</v>
      </c>
    </row>
    <row r="48" spans="1:12" x14ac:dyDescent="0.2">
      <c r="A48" t="s">
        <v>158</v>
      </c>
      <c r="B48">
        <v>1</v>
      </c>
      <c r="C48">
        <v>0</v>
      </c>
      <c r="D48">
        <v>0</v>
      </c>
      <c r="E48">
        <v>1</v>
      </c>
      <c r="F48">
        <v>1</v>
      </c>
      <c r="G48">
        <v>0</v>
      </c>
      <c r="H48">
        <v>120</v>
      </c>
      <c r="I48">
        <v>0</v>
      </c>
      <c r="J48" s="3">
        <f>Tabla3[[#This Row],[Estimado]]/(24*60)</f>
        <v>8.3333333333333329E-2</v>
      </c>
      <c r="K48" s="3">
        <f>Tabla3[[#This Row],[Registrado]]/(24*60)</f>
        <v>0</v>
      </c>
      <c r="L48">
        <v>11</v>
      </c>
    </row>
    <row r="49" spans="1:12" x14ac:dyDescent="0.2">
      <c r="A49" t="s">
        <v>154</v>
      </c>
      <c r="B49">
        <v>1</v>
      </c>
      <c r="C49">
        <v>0</v>
      </c>
      <c r="D49">
        <v>1</v>
      </c>
      <c r="E49">
        <v>0</v>
      </c>
      <c r="F49">
        <v>0</v>
      </c>
      <c r="G49">
        <v>0</v>
      </c>
      <c r="H49">
        <v>60</v>
      </c>
      <c r="I49">
        <v>0</v>
      </c>
      <c r="J49" s="3">
        <f>Tabla3[[#This Row],[Estimado]]/(24*60)</f>
        <v>4.1666666666666664E-2</v>
      </c>
      <c r="K49" s="3">
        <f>Tabla3[[#This Row],[Registrado]]/(24*60)</f>
        <v>0</v>
      </c>
      <c r="L49">
        <v>11</v>
      </c>
    </row>
    <row r="50" spans="1:12" x14ac:dyDescent="0.2">
      <c r="A50" t="s">
        <v>157</v>
      </c>
      <c r="B50">
        <v>1</v>
      </c>
      <c r="C50">
        <v>0</v>
      </c>
      <c r="D50">
        <v>1</v>
      </c>
      <c r="E50">
        <v>0</v>
      </c>
      <c r="F50">
        <v>0</v>
      </c>
      <c r="G50">
        <v>0</v>
      </c>
      <c r="H50">
        <v>60</v>
      </c>
      <c r="I50">
        <v>0</v>
      </c>
      <c r="J50" s="3">
        <f>Tabla3[[#This Row],[Estimado]]/(24*60)</f>
        <v>4.1666666666666664E-2</v>
      </c>
      <c r="K50" s="3">
        <f>Tabla3[[#This Row],[Registrado]]/(24*60)</f>
        <v>0</v>
      </c>
      <c r="L50">
        <v>11</v>
      </c>
    </row>
    <row r="51" spans="1:12" x14ac:dyDescent="0.2">
      <c r="A51" t="s">
        <v>158</v>
      </c>
      <c r="B51">
        <v>1</v>
      </c>
      <c r="C51">
        <v>0</v>
      </c>
      <c r="D51">
        <v>0</v>
      </c>
      <c r="E51">
        <v>1</v>
      </c>
      <c r="F51">
        <v>0</v>
      </c>
      <c r="G51">
        <v>1</v>
      </c>
      <c r="H51">
        <v>60</v>
      </c>
      <c r="I51">
        <v>0</v>
      </c>
      <c r="J51" s="3">
        <f>Tabla3[[#This Row],[Estimado]]/(24*60)</f>
        <v>4.1666666666666664E-2</v>
      </c>
      <c r="K51" s="3">
        <f>Tabla3[[#This Row],[Registrado]]/(24*60)</f>
        <v>0</v>
      </c>
      <c r="L51">
        <v>11</v>
      </c>
    </row>
    <row r="52" spans="1:12" x14ac:dyDescent="0.2">
      <c r="A52" t="s">
        <v>159</v>
      </c>
      <c r="B52">
        <v>1</v>
      </c>
      <c r="C52">
        <v>0</v>
      </c>
      <c r="D52">
        <v>0</v>
      </c>
      <c r="E52">
        <v>1</v>
      </c>
      <c r="F52">
        <v>0</v>
      </c>
      <c r="G52">
        <v>1</v>
      </c>
      <c r="H52">
        <v>60</v>
      </c>
      <c r="I52">
        <v>0</v>
      </c>
      <c r="J52" s="3">
        <f>Tabla3[[#This Row],[Estimado]]/(24*60)</f>
        <v>4.1666666666666664E-2</v>
      </c>
      <c r="K52" s="3">
        <f>Tabla3[[#This Row],[Registrado]]/(24*60)</f>
        <v>0</v>
      </c>
      <c r="L52">
        <v>11</v>
      </c>
    </row>
    <row r="53" spans="1:12" x14ac:dyDescent="0.2">
      <c r="A53" t="s">
        <v>155</v>
      </c>
      <c r="B53">
        <v>1</v>
      </c>
      <c r="C53">
        <v>0</v>
      </c>
      <c r="D53">
        <v>1</v>
      </c>
      <c r="E53">
        <v>0</v>
      </c>
      <c r="F53">
        <v>0</v>
      </c>
      <c r="G53">
        <v>0</v>
      </c>
      <c r="H53">
        <v>60</v>
      </c>
      <c r="I53">
        <v>0</v>
      </c>
      <c r="J53" s="3">
        <f>Tabla3[[#This Row],[Estimado]]/(24*60)</f>
        <v>4.1666666666666664E-2</v>
      </c>
      <c r="K53" s="3">
        <f>Tabla3[[#This Row],[Registrado]]/(24*60)</f>
        <v>0</v>
      </c>
      <c r="L53">
        <v>11</v>
      </c>
    </row>
    <row r="54" spans="1:12" x14ac:dyDescent="0.2">
      <c r="A54" t="s">
        <v>156</v>
      </c>
      <c r="B54">
        <v>1</v>
      </c>
      <c r="C54">
        <v>0</v>
      </c>
      <c r="D54">
        <v>0</v>
      </c>
      <c r="E54">
        <v>1</v>
      </c>
      <c r="F54">
        <v>0</v>
      </c>
      <c r="G54">
        <v>1</v>
      </c>
      <c r="H54">
        <v>60</v>
      </c>
      <c r="I54">
        <v>0</v>
      </c>
      <c r="J54" s="3">
        <f>Tabla3[[#This Row],[Estimado]]/(24*60)</f>
        <v>4.1666666666666664E-2</v>
      </c>
      <c r="K54" s="3">
        <f>Tabla3[[#This Row],[Registrado]]/(24*60)</f>
        <v>0</v>
      </c>
      <c r="L54">
        <v>11</v>
      </c>
    </row>
    <row r="55" spans="1:12" x14ac:dyDescent="0.2">
      <c r="A55" t="s">
        <v>154</v>
      </c>
      <c r="B55">
        <v>1</v>
      </c>
      <c r="C55">
        <v>0</v>
      </c>
      <c r="D55">
        <v>1</v>
      </c>
      <c r="E55">
        <v>0</v>
      </c>
      <c r="F55">
        <v>0</v>
      </c>
      <c r="G55">
        <v>0</v>
      </c>
      <c r="H55">
        <v>120</v>
      </c>
      <c r="I55">
        <v>0</v>
      </c>
      <c r="J55" s="3">
        <f>Tabla3[[#This Row],[Estimado]]/(24*60)</f>
        <v>8.3333333333333329E-2</v>
      </c>
      <c r="K55" s="3">
        <f>Tabla3[[#This Row],[Registrado]]/(24*60)</f>
        <v>0</v>
      </c>
      <c r="L55">
        <v>11</v>
      </c>
    </row>
    <row r="56" spans="1:12" x14ac:dyDescent="0.2">
      <c r="A56" t="s">
        <v>157</v>
      </c>
      <c r="B56">
        <v>1</v>
      </c>
      <c r="C56">
        <v>0</v>
      </c>
      <c r="D56">
        <v>1</v>
      </c>
      <c r="E56">
        <v>0</v>
      </c>
      <c r="F56">
        <v>0</v>
      </c>
      <c r="G56">
        <v>0</v>
      </c>
      <c r="H56">
        <v>120</v>
      </c>
      <c r="I56">
        <v>0</v>
      </c>
      <c r="J56" s="3">
        <f>Tabla3[[#This Row],[Estimado]]/(24*60)</f>
        <v>8.3333333333333329E-2</v>
      </c>
      <c r="K56" s="3">
        <f>Tabla3[[#This Row],[Registrado]]/(24*60)</f>
        <v>0</v>
      </c>
      <c r="L56">
        <v>11</v>
      </c>
    </row>
    <row r="57" spans="1:12" x14ac:dyDescent="0.2">
      <c r="A57" t="s">
        <v>158</v>
      </c>
      <c r="B57">
        <v>1</v>
      </c>
      <c r="C57">
        <v>0</v>
      </c>
      <c r="D57">
        <v>1</v>
      </c>
      <c r="E57">
        <v>0</v>
      </c>
      <c r="F57">
        <v>0</v>
      </c>
      <c r="G57">
        <v>0</v>
      </c>
      <c r="H57">
        <v>120</v>
      </c>
      <c r="I57">
        <v>0</v>
      </c>
      <c r="J57" s="3">
        <f>Tabla3[[#This Row],[Estimado]]/(24*60)</f>
        <v>8.3333333333333329E-2</v>
      </c>
      <c r="K57" s="3">
        <f>Tabla3[[#This Row],[Registrado]]/(24*60)</f>
        <v>0</v>
      </c>
      <c r="L57">
        <v>11</v>
      </c>
    </row>
    <row r="58" spans="1:12" x14ac:dyDescent="0.2">
      <c r="A58" t="s">
        <v>159</v>
      </c>
      <c r="B58">
        <v>1</v>
      </c>
      <c r="C58">
        <v>0</v>
      </c>
      <c r="D58">
        <v>1</v>
      </c>
      <c r="E58">
        <v>0</v>
      </c>
      <c r="F58">
        <v>0</v>
      </c>
      <c r="G58">
        <v>0</v>
      </c>
      <c r="H58">
        <v>120</v>
      </c>
      <c r="I58">
        <v>0</v>
      </c>
      <c r="J58" s="3">
        <f>Tabla3[[#This Row],[Estimado]]/(24*60)</f>
        <v>8.3333333333333329E-2</v>
      </c>
      <c r="K58" s="3">
        <f>Tabla3[[#This Row],[Registrado]]/(24*60)</f>
        <v>0</v>
      </c>
      <c r="L58">
        <v>11</v>
      </c>
    </row>
    <row r="59" spans="1:12" x14ac:dyDescent="0.2">
      <c r="A59" t="s">
        <v>155</v>
      </c>
      <c r="B59">
        <v>1</v>
      </c>
      <c r="C59">
        <v>0</v>
      </c>
      <c r="D59">
        <v>1</v>
      </c>
      <c r="E59">
        <v>0</v>
      </c>
      <c r="F59">
        <v>0</v>
      </c>
      <c r="G59">
        <v>0</v>
      </c>
      <c r="H59">
        <v>120</v>
      </c>
      <c r="I59">
        <v>0</v>
      </c>
      <c r="J59" s="3">
        <f>Tabla3[[#This Row],[Estimado]]/(24*60)</f>
        <v>8.3333333333333329E-2</v>
      </c>
      <c r="K59" s="3">
        <f>Tabla3[[#This Row],[Registrado]]/(24*60)</f>
        <v>0</v>
      </c>
      <c r="L59">
        <v>11</v>
      </c>
    </row>
    <row r="60" spans="1:12" x14ac:dyDescent="0.2">
      <c r="A60" t="s">
        <v>156</v>
      </c>
      <c r="B60">
        <v>1</v>
      </c>
      <c r="C60">
        <v>0</v>
      </c>
      <c r="D60">
        <v>0</v>
      </c>
      <c r="E60">
        <v>1</v>
      </c>
      <c r="F60">
        <v>0</v>
      </c>
      <c r="G60">
        <v>1</v>
      </c>
      <c r="H60">
        <v>120</v>
      </c>
      <c r="I60">
        <v>0</v>
      </c>
      <c r="J60" s="3">
        <f>Tabla3[[#This Row],[Estimado]]/(24*60)</f>
        <v>8.3333333333333329E-2</v>
      </c>
      <c r="K60" s="3">
        <f>Tabla3[[#This Row],[Registrado]]/(24*60)</f>
        <v>0</v>
      </c>
      <c r="L60">
        <v>11</v>
      </c>
    </row>
  </sheetData>
  <mergeCells count="1">
    <mergeCell ref="M1:Z3"/>
  </mergeCells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9C37E-D25A-7549-9A57-DEE3C646AF8E}">
  <dimension ref="A1:O36"/>
  <sheetViews>
    <sheetView showGridLines="0" tabSelected="1" workbookViewId="0">
      <selection activeCell="E33" sqref="E33"/>
    </sheetView>
  </sheetViews>
  <sheetFormatPr baseColWidth="10" defaultRowHeight="16" x14ac:dyDescent="0.2"/>
  <cols>
    <col min="1" max="1" width="32.5" bestFit="1" customWidth="1"/>
    <col min="2" max="2" width="17.33203125" bestFit="1" customWidth="1"/>
    <col min="3" max="3" width="17" bestFit="1" customWidth="1"/>
    <col min="4" max="4" width="18.6640625" bestFit="1" customWidth="1"/>
    <col min="5" max="5" width="17.6640625" bestFit="1" customWidth="1"/>
    <col min="6" max="6" width="15.1640625" bestFit="1" customWidth="1"/>
    <col min="7" max="7" width="13.5" bestFit="1" customWidth="1"/>
    <col min="9" max="9" width="10.83203125" hidden="1" customWidth="1"/>
    <col min="11" max="11" width="17" bestFit="1" customWidth="1"/>
    <col min="12" max="12" width="17.33203125" bestFit="1" customWidth="1"/>
    <col min="13" max="13" width="17" bestFit="1" customWidth="1"/>
    <col min="14" max="14" width="18.6640625" bestFit="1" customWidth="1"/>
    <col min="15" max="15" width="17.6640625" bestFit="1" customWidth="1"/>
    <col min="16" max="16" width="30.83203125" bestFit="1" customWidth="1"/>
    <col min="17" max="17" width="17.33203125" bestFit="1" customWidth="1"/>
    <col min="18" max="18" width="17" bestFit="1" customWidth="1"/>
    <col min="19" max="19" width="18.6640625" bestFit="1" customWidth="1"/>
    <col min="20" max="20" width="17.6640625" bestFit="1" customWidth="1"/>
    <col min="21" max="21" width="14.33203125" bestFit="1" customWidth="1"/>
    <col min="22" max="22" width="13.5" bestFit="1" customWidth="1"/>
  </cols>
  <sheetData>
    <row r="1" spans="1:15" x14ac:dyDescent="0.2">
      <c r="I1" s="27"/>
    </row>
    <row r="2" spans="1:15" ht="17" thickBot="1" x14ac:dyDescent="0.25">
      <c r="I2" s="27"/>
      <c r="J2" s="27"/>
    </row>
    <row r="3" spans="1:15" x14ac:dyDescent="0.2">
      <c r="A3" s="4" t="s">
        <v>29</v>
      </c>
      <c r="B3" t="s">
        <v>146</v>
      </c>
      <c r="C3" t="s">
        <v>147</v>
      </c>
      <c r="D3" t="s">
        <v>148</v>
      </c>
      <c r="E3" t="s">
        <v>149</v>
      </c>
      <c r="F3" t="s">
        <v>151</v>
      </c>
      <c r="G3" t="s">
        <v>150</v>
      </c>
      <c r="H3" s="28" t="s">
        <v>161</v>
      </c>
      <c r="I3" s="27"/>
      <c r="K3" s="4" t="s">
        <v>29</v>
      </c>
      <c r="L3" t="s">
        <v>146</v>
      </c>
      <c r="M3" t="s">
        <v>147</v>
      </c>
      <c r="N3" t="s">
        <v>148</v>
      </c>
      <c r="O3" t="s">
        <v>149</v>
      </c>
    </row>
    <row r="4" spans="1:15" x14ac:dyDescent="0.2">
      <c r="A4" s="5" t="s">
        <v>160</v>
      </c>
      <c r="B4" s="3">
        <v>1</v>
      </c>
      <c r="C4" s="3">
        <v>0</v>
      </c>
      <c r="D4" s="3">
        <v>0</v>
      </c>
      <c r="E4" s="3">
        <v>1</v>
      </c>
      <c r="F4" s="3">
        <v>0</v>
      </c>
      <c r="G4" s="3">
        <v>1</v>
      </c>
      <c r="H4" s="30"/>
      <c r="I4" s="31"/>
      <c r="J4" s="27"/>
      <c r="K4" s="5">
        <v>8</v>
      </c>
      <c r="L4" s="3">
        <v>4</v>
      </c>
      <c r="M4" s="3">
        <v>0</v>
      </c>
      <c r="N4" s="3">
        <v>3</v>
      </c>
      <c r="O4" s="3">
        <v>1</v>
      </c>
    </row>
    <row r="5" spans="1:15" x14ac:dyDescent="0.2">
      <c r="A5" s="20">
        <v>8</v>
      </c>
      <c r="B5" s="3">
        <v>1</v>
      </c>
      <c r="C5" s="3">
        <v>0</v>
      </c>
      <c r="D5" s="3">
        <v>0</v>
      </c>
      <c r="E5" s="3">
        <v>1</v>
      </c>
      <c r="F5" s="3">
        <v>0</v>
      </c>
      <c r="G5" s="3">
        <v>1</v>
      </c>
      <c r="H5" s="30"/>
      <c r="I5" s="30"/>
      <c r="K5" s="5">
        <v>9</v>
      </c>
      <c r="L5" s="3">
        <v>2</v>
      </c>
      <c r="M5" s="3">
        <v>0</v>
      </c>
      <c r="N5" s="3">
        <v>2</v>
      </c>
      <c r="O5" s="3">
        <v>0</v>
      </c>
    </row>
    <row r="6" spans="1:15" x14ac:dyDescent="0.2">
      <c r="A6" s="5" t="s">
        <v>154</v>
      </c>
      <c r="B6" s="3">
        <v>13</v>
      </c>
      <c r="C6" s="3">
        <v>0</v>
      </c>
      <c r="D6" s="3">
        <v>13</v>
      </c>
      <c r="E6" s="3">
        <v>0</v>
      </c>
      <c r="F6" s="3">
        <v>0</v>
      </c>
      <c r="G6" s="3">
        <v>0</v>
      </c>
      <c r="H6" s="29">
        <f>AVERAGE(H7:H10)</f>
        <v>0</v>
      </c>
      <c r="K6" s="5">
        <v>10</v>
      </c>
      <c r="L6" s="3">
        <v>2</v>
      </c>
      <c r="M6" s="3">
        <v>0</v>
      </c>
      <c r="N6" s="3">
        <v>1</v>
      </c>
      <c r="O6" s="3">
        <v>1</v>
      </c>
    </row>
    <row r="7" spans="1:15" x14ac:dyDescent="0.2">
      <c r="A7" s="20">
        <v>8</v>
      </c>
      <c r="B7" s="3">
        <v>5</v>
      </c>
      <c r="C7" s="3">
        <v>0</v>
      </c>
      <c r="D7" s="3">
        <v>5</v>
      </c>
      <c r="E7" s="3">
        <v>0</v>
      </c>
      <c r="F7" s="3">
        <v>0</v>
      </c>
      <c r="G7" s="3">
        <v>0</v>
      </c>
      <c r="H7" s="27">
        <f>IF(B7&gt;=4,I7,B7*I7/4)</f>
        <v>0</v>
      </c>
      <c r="I7" s="27">
        <f>IF(B7=0,0,(B7-(C7+D7)*1-F7*0.05-G7*0.3)*5/B7)</f>
        <v>0</v>
      </c>
      <c r="K7" s="5">
        <v>11</v>
      </c>
      <c r="L7" s="3">
        <v>4</v>
      </c>
      <c r="M7" s="3">
        <v>0</v>
      </c>
      <c r="N7" s="3">
        <v>1</v>
      </c>
      <c r="O7" s="3">
        <v>3</v>
      </c>
    </row>
    <row r="8" spans="1:15" x14ac:dyDescent="0.2">
      <c r="A8" s="20">
        <v>9</v>
      </c>
      <c r="B8" s="3">
        <v>2</v>
      </c>
      <c r="C8" s="3">
        <v>0</v>
      </c>
      <c r="D8" s="3">
        <v>2</v>
      </c>
      <c r="E8" s="3">
        <v>0</v>
      </c>
      <c r="F8" s="3">
        <v>0</v>
      </c>
      <c r="G8" s="3">
        <v>0</v>
      </c>
      <c r="H8" s="27">
        <f>IF(B8&gt;=4,I8,B8*I8/4)</f>
        <v>0</v>
      </c>
      <c r="I8" s="27">
        <f>IF(B8=0,0,(B8-(C8+D8)*1-F8*0.05-G8*0.3)*5/B8)</f>
        <v>0</v>
      </c>
      <c r="K8" s="5" t="s">
        <v>30</v>
      </c>
      <c r="L8" s="3">
        <v>12</v>
      </c>
      <c r="M8" s="3">
        <v>0</v>
      </c>
      <c r="N8" s="3">
        <v>7</v>
      </c>
      <c r="O8" s="3">
        <v>5</v>
      </c>
    </row>
    <row r="9" spans="1:15" x14ac:dyDescent="0.2">
      <c r="A9" s="20">
        <v>10</v>
      </c>
      <c r="B9" s="3">
        <v>2</v>
      </c>
      <c r="C9" s="3">
        <v>0</v>
      </c>
      <c r="D9" s="3">
        <v>2</v>
      </c>
      <c r="E9" s="3">
        <v>0</v>
      </c>
      <c r="F9" s="3">
        <v>0</v>
      </c>
      <c r="G9" s="3">
        <v>0</v>
      </c>
      <c r="H9" s="27">
        <f>IF(B9&gt;=4,I9,B9*I9/4)</f>
        <v>0</v>
      </c>
      <c r="I9" s="27">
        <f>IF(B9=0,0,(B9-(C9+D9)*1-F9*0.05-G9*0.3)*5/B9)</f>
        <v>0</v>
      </c>
      <c r="O9" s="21"/>
    </row>
    <row r="10" spans="1:15" x14ac:dyDescent="0.2">
      <c r="A10" s="20">
        <v>11</v>
      </c>
      <c r="B10" s="3">
        <v>4</v>
      </c>
      <c r="C10" s="3">
        <v>0</v>
      </c>
      <c r="D10" s="3">
        <v>4</v>
      </c>
      <c r="E10" s="3">
        <v>0</v>
      </c>
      <c r="F10" s="3">
        <v>0</v>
      </c>
      <c r="G10" s="3">
        <v>0</v>
      </c>
      <c r="H10" s="27">
        <f>IF(B10&gt;=4,I10,B10*I10/4)</f>
        <v>0</v>
      </c>
      <c r="I10" s="27">
        <f>IF(B10=0,0,(B10-(C10+D10)*1-F10*0.05-G10*0.3)*5/B10)</f>
        <v>0</v>
      </c>
      <c r="O10" s="21"/>
    </row>
    <row r="11" spans="1:15" x14ac:dyDescent="0.2">
      <c r="A11" s="5" t="s">
        <v>155</v>
      </c>
      <c r="B11" s="3">
        <v>13</v>
      </c>
      <c r="C11" s="3">
        <v>0</v>
      </c>
      <c r="D11" s="3">
        <v>11</v>
      </c>
      <c r="E11" s="3">
        <v>2</v>
      </c>
      <c r="F11" s="3">
        <v>0</v>
      </c>
      <c r="G11" s="3">
        <v>2</v>
      </c>
      <c r="H11" s="29">
        <f>AVERAGE(H12:H15)</f>
        <v>0.4375</v>
      </c>
      <c r="O11" s="21"/>
    </row>
    <row r="12" spans="1:15" x14ac:dyDescent="0.2">
      <c r="A12" s="20">
        <v>8</v>
      </c>
      <c r="B12" s="3">
        <v>5</v>
      </c>
      <c r="C12" s="3">
        <v>0</v>
      </c>
      <c r="D12" s="3">
        <v>5</v>
      </c>
      <c r="E12" s="3">
        <v>0</v>
      </c>
      <c r="F12" s="3">
        <v>0</v>
      </c>
      <c r="G12" s="3">
        <v>0</v>
      </c>
      <c r="H12" s="27">
        <f>IF(B12&gt;=4,I12,B12*I12/4)</f>
        <v>0</v>
      </c>
      <c r="I12" s="27">
        <f>IF(B12=0,0,(B12-(C12+D12)*1-F12*0.05-G12*0.3)*5/B12)</f>
        <v>0</v>
      </c>
      <c r="O12" s="21"/>
    </row>
    <row r="13" spans="1:15" x14ac:dyDescent="0.2">
      <c r="A13" s="20">
        <v>9</v>
      </c>
      <c r="B13" s="3">
        <v>2</v>
      </c>
      <c r="C13" s="3">
        <v>0</v>
      </c>
      <c r="D13" s="3">
        <v>1</v>
      </c>
      <c r="E13" s="3">
        <v>1</v>
      </c>
      <c r="F13" s="3">
        <v>0</v>
      </c>
      <c r="G13" s="3">
        <v>1</v>
      </c>
      <c r="H13" s="27">
        <f>IF(B13&gt;=4,I13,B13*I13/4)</f>
        <v>0.875</v>
      </c>
      <c r="I13" s="27">
        <f>IF(B13=0,0,(B13-(C13+D13)*1-F13*0.05-G13*0.3)*5/B13)</f>
        <v>1.75</v>
      </c>
      <c r="O13" s="21"/>
    </row>
    <row r="14" spans="1:15" x14ac:dyDescent="0.2">
      <c r="A14" s="20">
        <v>10</v>
      </c>
      <c r="B14" s="3">
        <v>2</v>
      </c>
      <c r="C14" s="3">
        <v>0</v>
      </c>
      <c r="D14" s="3">
        <v>2</v>
      </c>
      <c r="E14" s="3">
        <v>0</v>
      </c>
      <c r="F14" s="3">
        <v>0</v>
      </c>
      <c r="G14" s="3">
        <v>0</v>
      </c>
      <c r="H14" s="27">
        <f>IF(B14&gt;=4,I14,B14*I14/4)</f>
        <v>0</v>
      </c>
      <c r="I14" s="27">
        <f>IF(B14=0,0,(B14-(C14+D14)*1-F14*0.05-G14*0.3)*5/B14)</f>
        <v>0</v>
      </c>
      <c r="O14" s="21"/>
    </row>
    <row r="15" spans="1:15" x14ac:dyDescent="0.2">
      <c r="A15" s="20">
        <v>11</v>
      </c>
      <c r="B15" s="3">
        <v>4</v>
      </c>
      <c r="C15" s="3">
        <v>0</v>
      </c>
      <c r="D15" s="3">
        <v>3</v>
      </c>
      <c r="E15" s="3">
        <v>1</v>
      </c>
      <c r="F15" s="3">
        <v>0</v>
      </c>
      <c r="G15" s="3">
        <v>1</v>
      </c>
      <c r="H15" s="27">
        <f>IF(B15&gt;=4,I15,B15*I15/4)</f>
        <v>0.875</v>
      </c>
      <c r="I15" s="27">
        <f>IF(B15=0,0,(B15-(C15+D15)*1-F15*0.05-G15*0.3)*5/B15)</f>
        <v>0.875</v>
      </c>
      <c r="O15" s="21"/>
    </row>
    <row r="16" spans="1:15" x14ac:dyDescent="0.2">
      <c r="A16" s="5" t="s">
        <v>156</v>
      </c>
      <c r="B16" s="3">
        <v>10</v>
      </c>
      <c r="C16" s="3">
        <v>0</v>
      </c>
      <c r="D16" s="3">
        <v>8</v>
      </c>
      <c r="E16" s="3">
        <v>2</v>
      </c>
      <c r="F16" s="3">
        <v>2</v>
      </c>
      <c r="G16" s="3">
        <v>0</v>
      </c>
      <c r="H16" s="29">
        <f>AVERAGE(H17:H20)</f>
        <v>0.59375</v>
      </c>
      <c r="O16" s="21"/>
    </row>
    <row r="17" spans="1:15" x14ac:dyDescent="0.2">
      <c r="A17" s="20">
        <v>8</v>
      </c>
      <c r="B17" s="3">
        <v>4</v>
      </c>
      <c r="C17" s="3">
        <v>0</v>
      </c>
      <c r="D17" s="3">
        <v>4</v>
      </c>
      <c r="E17" s="3">
        <v>0</v>
      </c>
      <c r="F17" s="3">
        <v>0</v>
      </c>
      <c r="G17" s="3">
        <v>0</v>
      </c>
      <c r="H17" s="27">
        <f>IF(B17&gt;=4,I17,B17*I17/4)</f>
        <v>0</v>
      </c>
      <c r="I17" s="27">
        <f>IF(B17=0,0,(B17-(C17+D17)*1-F17*0.05-G17*0.3)*5/B17)</f>
        <v>0</v>
      </c>
      <c r="O17" s="21"/>
    </row>
    <row r="18" spans="1:15" x14ac:dyDescent="0.2">
      <c r="A18" s="20">
        <v>9</v>
      </c>
      <c r="B18" s="3">
        <v>2</v>
      </c>
      <c r="C18" s="3">
        <v>0</v>
      </c>
      <c r="D18" s="3">
        <v>2</v>
      </c>
      <c r="E18" s="3">
        <v>0</v>
      </c>
      <c r="F18" s="3">
        <v>0</v>
      </c>
      <c r="G18" s="3">
        <v>0</v>
      </c>
      <c r="H18" s="27">
        <f>IF(B18&gt;=4,I18,B18*I18/4)</f>
        <v>0</v>
      </c>
      <c r="I18" s="27">
        <f>IF(B18=0,0,(B18-(C18+D18)*1-F18*0.05-G18*0.3)*5/B18)</f>
        <v>0</v>
      </c>
      <c r="O18" s="21"/>
    </row>
    <row r="19" spans="1:15" x14ac:dyDescent="0.2">
      <c r="A19" s="20">
        <v>10</v>
      </c>
      <c r="B19" s="3">
        <v>2</v>
      </c>
      <c r="C19" s="3">
        <v>0</v>
      </c>
      <c r="D19" s="3">
        <v>2</v>
      </c>
      <c r="E19" s="3">
        <v>0</v>
      </c>
      <c r="F19" s="3">
        <v>0</v>
      </c>
      <c r="G19" s="3">
        <v>0</v>
      </c>
      <c r="H19" s="27">
        <f>IF(B19&gt;=4,I19,B19*I19/4)</f>
        <v>0</v>
      </c>
      <c r="I19" s="27">
        <f>IF(B19=0,0,(B19-(C19+D19)*1-F19*0.05-G19*0.3)*5/B19)</f>
        <v>0</v>
      </c>
      <c r="O19" s="21"/>
    </row>
    <row r="20" spans="1:15" x14ac:dyDescent="0.2">
      <c r="A20" s="20">
        <v>11</v>
      </c>
      <c r="B20" s="3">
        <v>2</v>
      </c>
      <c r="C20" s="3">
        <v>0</v>
      </c>
      <c r="D20" s="3">
        <v>0</v>
      </c>
      <c r="E20" s="3">
        <v>2</v>
      </c>
      <c r="F20" s="3">
        <v>2</v>
      </c>
      <c r="G20" s="3">
        <v>0</v>
      </c>
      <c r="H20" s="27">
        <f>IF(B20&gt;=4,I20,B20*I20/4)</f>
        <v>2.375</v>
      </c>
      <c r="I20" s="27">
        <f>IF(B20=0,0,(B20-(C20+D20)*1-F20*0.05-G20*0.3)*5/B20)</f>
        <v>4.75</v>
      </c>
      <c r="O20" s="21"/>
    </row>
    <row r="21" spans="1:15" x14ac:dyDescent="0.2">
      <c r="A21" s="5" t="s">
        <v>157</v>
      </c>
      <c r="B21" s="3">
        <v>13</v>
      </c>
      <c r="C21" s="3">
        <v>0</v>
      </c>
      <c r="D21" s="3">
        <v>10</v>
      </c>
      <c r="E21" s="3">
        <v>3</v>
      </c>
      <c r="F21" s="3">
        <v>2</v>
      </c>
      <c r="G21" s="3">
        <v>1</v>
      </c>
      <c r="H21" s="29">
        <f>AVERAGE(H22:H25)</f>
        <v>0.8125</v>
      </c>
      <c r="O21" s="21"/>
    </row>
    <row r="22" spans="1:15" x14ac:dyDescent="0.2">
      <c r="A22" s="20">
        <v>8</v>
      </c>
      <c r="B22" s="3">
        <v>4</v>
      </c>
      <c r="C22" s="3">
        <v>0</v>
      </c>
      <c r="D22" s="3">
        <v>1</v>
      </c>
      <c r="E22" s="3">
        <v>3</v>
      </c>
      <c r="F22" s="3">
        <v>2</v>
      </c>
      <c r="G22" s="3">
        <v>1</v>
      </c>
      <c r="H22" s="27">
        <f>IF(B22&gt;=4,I22,B22*I22/4)</f>
        <v>3.25</v>
      </c>
      <c r="I22" s="27">
        <f>IF(B22=0,0,(B22-(C22+D22)*1-F22*0.05-G22*0.3)*5/B22)</f>
        <v>3.25</v>
      </c>
      <c r="O22" s="21"/>
    </row>
    <row r="23" spans="1:15" x14ac:dyDescent="0.2">
      <c r="A23" s="20">
        <v>9</v>
      </c>
      <c r="B23" s="3">
        <v>2</v>
      </c>
      <c r="C23" s="3">
        <v>0</v>
      </c>
      <c r="D23" s="3">
        <v>2</v>
      </c>
      <c r="E23" s="3">
        <v>0</v>
      </c>
      <c r="F23" s="3">
        <v>0</v>
      </c>
      <c r="G23" s="3">
        <v>0</v>
      </c>
      <c r="H23" s="27">
        <f>IF(B23&gt;=4,I23,B23*I23/4)</f>
        <v>0</v>
      </c>
      <c r="I23" s="27">
        <f>IF(B23=0,0,(B23-(C23+D23)*1-F23*0.05-G23*0.3)*5/B23)</f>
        <v>0</v>
      </c>
    </row>
    <row r="24" spans="1:15" x14ac:dyDescent="0.2">
      <c r="A24" s="20">
        <v>10</v>
      </c>
      <c r="B24" s="3">
        <v>2</v>
      </c>
      <c r="C24" s="3">
        <v>0</v>
      </c>
      <c r="D24" s="3">
        <v>2</v>
      </c>
      <c r="E24" s="3">
        <v>0</v>
      </c>
      <c r="F24" s="3">
        <v>0</v>
      </c>
      <c r="G24" s="3">
        <v>0</v>
      </c>
      <c r="H24" s="27">
        <f>IF(B24&gt;=4,I24,B24*I24/4)</f>
        <v>0</v>
      </c>
      <c r="I24" s="27">
        <f>IF(B24=0,0,(B24-(C24+D24)*1-F24*0.05-G24*0.3)*5/B24)</f>
        <v>0</v>
      </c>
    </row>
    <row r="25" spans="1:15" x14ac:dyDescent="0.2">
      <c r="A25" s="20">
        <v>11</v>
      </c>
      <c r="B25" s="3">
        <v>5</v>
      </c>
      <c r="C25" s="3">
        <v>0</v>
      </c>
      <c r="D25" s="3">
        <v>5</v>
      </c>
      <c r="E25" s="3">
        <v>0</v>
      </c>
      <c r="F25" s="3">
        <v>0</v>
      </c>
      <c r="G25" s="3">
        <v>0</v>
      </c>
      <c r="H25" s="27">
        <f>IF(B25&gt;=4,I25,B25*I25/4)</f>
        <v>0</v>
      </c>
      <c r="I25" s="27">
        <f>IF(B25=0,0,(B25-(C25+D25)*1-F25*0.05-G25*0.3)*5/B25)</f>
        <v>0</v>
      </c>
    </row>
    <row r="26" spans="1:15" x14ac:dyDescent="0.2">
      <c r="A26" s="5" t="s">
        <v>158</v>
      </c>
      <c r="B26" s="3">
        <v>12</v>
      </c>
      <c r="C26" s="3">
        <v>0</v>
      </c>
      <c r="D26" s="3">
        <v>7</v>
      </c>
      <c r="E26" s="3">
        <v>5</v>
      </c>
      <c r="F26" s="3">
        <v>1</v>
      </c>
      <c r="G26" s="3">
        <v>4</v>
      </c>
      <c r="H26" s="29">
        <f>AVERAGE(H27:H30)</f>
        <v>1.171875</v>
      </c>
    </row>
    <row r="27" spans="1:15" x14ac:dyDescent="0.2">
      <c r="A27" s="20">
        <v>8</v>
      </c>
      <c r="B27" s="3">
        <v>4</v>
      </c>
      <c r="C27" s="3">
        <v>0</v>
      </c>
      <c r="D27" s="3">
        <v>3</v>
      </c>
      <c r="E27" s="3">
        <v>1</v>
      </c>
      <c r="F27" s="3">
        <v>0</v>
      </c>
      <c r="G27" s="3">
        <v>1</v>
      </c>
      <c r="H27" s="27">
        <f>IF(B27&gt;=4,I27,B27*I27/4)</f>
        <v>0.875</v>
      </c>
      <c r="I27" s="27">
        <f>IF(B27=0,0,(B27-(C27+D27)*1-F27*0.05-G27*0.3)*5/B27)</f>
        <v>0.875</v>
      </c>
    </row>
    <row r="28" spans="1:15" x14ac:dyDescent="0.2">
      <c r="A28" s="20">
        <v>9</v>
      </c>
      <c r="B28" s="3">
        <v>2</v>
      </c>
      <c r="C28" s="3">
        <v>0</v>
      </c>
      <c r="D28" s="3">
        <v>2</v>
      </c>
      <c r="E28" s="3">
        <v>0</v>
      </c>
      <c r="F28" s="3">
        <v>0</v>
      </c>
      <c r="G28" s="3">
        <v>0</v>
      </c>
      <c r="H28" s="27">
        <f>IF(B28&gt;=4,I28,B28*I28/4)</f>
        <v>0</v>
      </c>
      <c r="I28" s="27">
        <f>IF(B28=0,0,(B28-(C28+D28)*1-F28*0.05-G28*0.3)*5/B28)</f>
        <v>0</v>
      </c>
    </row>
    <row r="29" spans="1:15" x14ac:dyDescent="0.2">
      <c r="A29" s="20">
        <v>10</v>
      </c>
      <c r="B29" s="3">
        <v>2</v>
      </c>
      <c r="C29" s="3">
        <v>0</v>
      </c>
      <c r="D29" s="3">
        <v>1</v>
      </c>
      <c r="E29" s="3">
        <v>1</v>
      </c>
      <c r="F29" s="3">
        <v>0</v>
      </c>
      <c r="G29" s="3">
        <v>1</v>
      </c>
      <c r="H29" s="27">
        <f>IF(B29&gt;=4,I29,B29*I29/4)</f>
        <v>0.875</v>
      </c>
      <c r="I29" s="27">
        <f>IF(B29=0,0,(B29-(C29+D29)*1-F29*0.05-G29*0.3)*5/B29)</f>
        <v>1.75</v>
      </c>
    </row>
    <row r="30" spans="1:15" x14ac:dyDescent="0.2">
      <c r="A30" s="20">
        <v>11</v>
      </c>
      <c r="B30" s="3">
        <v>4</v>
      </c>
      <c r="C30" s="3">
        <v>0</v>
      </c>
      <c r="D30" s="3">
        <v>1</v>
      </c>
      <c r="E30" s="3">
        <v>3</v>
      </c>
      <c r="F30" s="3">
        <v>1</v>
      </c>
      <c r="G30" s="3">
        <v>2</v>
      </c>
      <c r="H30" s="27">
        <f>IF(B30&gt;=4,I30,B30*I30/4)</f>
        <v>2.9375</v>
      </c>
      <c r="I30" s="27">
        <f>IF(B30=0,0,(B30-(C30+D30)*1-F30*0.05-G30*0.3)*5/B30)</f>
        <v>2.9375</v>
      </c>
    </row>
    <row r="31" spans="1:15" x14ac:dyDescent="0.2">
      <c r="A31" s="5" t="s">
        <v>159</v>
      </c>
      <c r="B31" s="3">
        <v>9</v>
      </c>
      <c r="C31" s="3">
        <v>0</v>
      </c>
      <c r="D31" s="3">
        <v>1</v>
      </c>
      <c r="E31" s="3">
        <v>8</v>
      </c>
      <c r="F31" s="3">
        <v>7</v>
      </c>
      <c r="G31" s="3">
        <v>1</v>
      </c>
      <c r="H31" s="29">
        <f>AVERAGE(H32:H35)</f>
        <v>2.296875</v>
      </c>
    </row>
    <row r="32" spans="1:15" x14ac:dyDescent="0.2">
      <c r="A32" s="20">
        <v>8</v>
      </c>
      <c r="B32" s="3">
        <v>3</v>
      </c>
      <c r="C32" s="3">
        <v>0</v>
      </c>
      <c r="D32" s="3">
        <v>0</v>
      </c>
      <c r="E32" s="3">
        <v>3</v>
      </c>
      <c r="F32" s="3">
        <v>2</v>
      </c>
      <c r="G32" s="3">
        <v>1</v>
      </c>
      <c r="H32" s="27">
        <f>IF(B32&gt;=4,I32,B32*I32/4)</f>
        <v>3.25</v>
      </c>
      <c r="I32" s="27">
        <f>IF(B32=0,0,(B32-(C32+D32)*1-F32*0.05-G32*0.3)*5/B32)</f>
        <v>4.333333333333333</v>
      </c>
    </row>
    <row r="33" spans="1:9" x14ac:dyDescent="0.2">
      <c r="A33" s="20">
        <v>9</v>
      </c>
      <c r="B33" s="3">
        <v>2</v>
      </c>
      <c r="C33" s="3">
        <v>0</v>
      </c>
      <c r="D33" s="3">
        <v>0</v>
      </c>
      <c r="E33" s="3">
        <v>2</v>
      </c>
      <c r="F33" s="3">
        <v>2</v>
      </c>
      <c r="G33" s="3">
        <v>0</v>
      </c>
      <c r="H33" s="27">
        <f>IF(B33&gt;=4,I33,B33*I33/4)</f>
        <v>2.375</v>
      </c>
      <c r="I33" s="27">
        <f>IF(B33=0,0,(B33-(C33+D33)*1-F33*0.05-G33*0.3)*5/B33)</f>
        <v>4.75</v>
      </c>
    </row>
    <row r="34" spans="1:9" x14ac:dyDescent="0.2">
      <c r="A34" s="20">
        <v>10</v>
      </c>
      <c r="B34" s="3">
        <v>2</v>
      </c>
      <c r="C34" s="3">
        <v>0</v>
      </c>
      <c r="D34" s="3">
        <v>0</v>
      </c>
      <c r="E34" s="3">
        <v>2</v>
      </c>
      <c r="F34" s="3">
        <v>2</v>
      </c>
      <c r="G34" s="3">
        <v>0</v>
      </c>
      <c r="H34" s="27">
        <f>IF(B34&gt;=4,I34,B34*I34/4)</f>
        <v>2.375</v>
      </c>
      <c r="I34" s="27">
        <f>IF(B34=0,0,(B34-(C34+D34)*1-F34*0.05-G34*0.3)*5/B34)</f>
        <v>4.75</v>
      </c>
    </row>
    <row r="35" spans="1:9" x14ac:dyDescent="0.2">
      <c r="A35" s="20">
        <v>11</v>
      </c>
      <c r="B35" s="3">
        <v>2</v>
      </c>
      <c r="C35" s="3">
        <v>0</v>
      </c>
      <c r="D35" s="3">
        <v>1</v>
      </c>
      <c r="E35" s="3">
        <v>1</v>
      </c>
      <c r="F35" s="3">
        <v>1</v>
      </c>
      <c r="G35" s="3">
        <v>0</v>
      </c>
      <c r="H35" s="27">
        <f>IF(B35&gt;=4,I35,B35*I35/4)</f>
        <v>1.1875</v>
      </c>
      <c r="I35" s="27">
        <f>IF(B35=0,0,(B35-(C35+D35)*1-F35*0.05-G35*0.3)*5/B35)</f>
        <v>2.375</v>
      </c>
    </row>
    <row r="36" spans="1:9" x14ac:dyDescent="0.2">
      <c r="A36" s="5" t="s">
        <v>30</v>
      </c>
      <c r="B36" s="3">
        <v>71</v>
      </c>
      <c r="C36" s="3">
        <v>0</v>
      </c>
      <c r="D36" s="3">
        <v>50</v>
      </c>
      <c r="E36" s="3">
        <v>21</v>
      </c>
      <c r="F36" s="3">
        <v>12</v>
      </c>
      <c r="G36" s="3">
        <v>9</v>
      </c>
    </row>
  </sheetData>
  <pageMargins left="0.7" right="0.7" top="0.75" bottom="0.75" header="0.3" footer="0.3"/>
  <ignoredErrors>
    <ignoredError sqref="H11:H31" formula="1"/>
  </ignoredErrors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I42"/>
  <sheetViews>
    <sheetView showGridLines="0" showRowColHeaders="0" workbookViewId="0">
      <selection activeCell="F7" sqref="F7"/>
    </sheetView>
  </sheetViews>
  <sheetFormatPr baseColWidth="10" defaultRowHeight="16" x14ac:dyDescent="0.2"/>
  <cols>
    <col min="1" max="1" width="25.6640625" bestFit="1" customWidth="1"/>
    <col min="2" max="2" width="21.5" bestFit="1" customWidth="1"/>
    <col min="3" max="3" width="18.83203125" bestFit="1" customWidth="1"/>
    <col min="4" max="4" width="15.5" bestFit="1" customWidth="1"/>
    <col min="5" max="5" width="16.33203125" bestFit="1" customWidth="1"/>
    <col min="6" max="6" width="13" bestFit="1" customWidth="1"/>
    <col min="7" max="7" width="16.33203125" bestFit="1" customWidth="1"/>
    <col min="8" max="8" width="5.6640625" bestFit="1" customWidth="1"/>
    <col min="9" max="9" width="12" bestFit="1" customWidth="1"/>
  </cols>
  <sheetData>
    <row r="1" spans="1:9" s="26" customFormat="1" x14ac:dyDescent="0.2"/>
    <row r="2" spans="1:9" s="26" customFormat="1" x14ac:dyDescent="0.2"/>
    <row r="3" spans="1:9" s="26" customFormat="1" x14ac:dyDescent="0.2"/>
    <row r="11" spans="1:9" hidden="1" x14ac:dyDescent="0.2">
      <c r="A11" s="4" t="s">
        <v>2</v>
      </c>
      <c r="B11" s="5">
        <v>5</v>
      </c>
      <c r="C11" t="str">
        <f>IF(OR($B$11=1,$B$11=2),"4-feb",IF($B$11=3,"11-feb",IF(B11=4,"18-feb",IF(B11=5,"25-feb",IF(B11=6,"3-mar","")))))</f>
        <v>25-feb</v>
      </c>
    </row>
    <row r="13" spans="1:9" hidden="1" x14ac:dyDescent="0.2">
      <c r="A13" s="4" t="s">
        <v>28</v>
      </c>
      <c r="B13" s="4" t="s">
        <v>31</v>
      </c>
    </row>
    <row r="14" spans="1:9" x14ac:dyDescent="0.2">
      <c r="A14" s="4" t="s">
        <v>29</v>
      </c>
      <c r="B14" t="s">
        <v>41</v>
      </c>
      <c r="C14" t="s">
        <v>44</v>
      </c>
      <c r="D14" t="s">
        <v>47</v>
      </c>
      <c r="E14" t="s">
        <v>40</v>
      </c>
      <c r="F14" t="s">
        <v>50</v>
      </c>
      <c r="G14" t="s">
        <v>53</v>
      </c>
      <c r="H14" t="s">
        <v>83</v>
      </c>
      <c r="I14" t="s">
        <v>30</v>
      </c>
    </row>
    <row r="15" spans="1:9" x14ac:dyDescent="0.2">
      <c r="A15" s="5" t="s">
        <v>32</v>
      </c>
      <c r="B15" s="3">
        <v>7</v>
      </c>
      <c r="C15" s="3">
        <v>7</v>
      </c>
      <c r="D15" s="3">
        <v>8</v>
      </c>
      <c r="E15" s="3">
        <v>7</v>
      </c>
      <c r="F15" s="3">
        <v>7</v>
      </c>
      <c r="G15" s="3">
        <v>7</v>
      </c>
      <c r="H15" s="3">
        <v>3</v>
      </c>
      <c r="I15" s="9">
        <v>46</v>
      </c>
    </row>
    <row r="16" spans="1:9" x14ac:dyDescent="0.2">
      <c r="A16" s="7" t="s">
        <v>33</v>
      </c>
      <c r="B16" s="8">
        <v>7</v>
      </c>
      <c r="C16" s="8">
        <v>5</v>
      </c>
      <c r="D16" s="8">
        <v>8</v>
      </c>
      <c r="E16" s="8">
        <v>7</v>
      </c>
      <c r="F16" s="8">
        <v>3</v>
      </c>
      <c r="G16" s="8">
        <v>7</v>
      </c>
      <c r="H16" s="8">
        <v>3</v>
      </c>
      <c r="I16" s="10">
        <v>40</v>
      </c>
    </row>
    <row r="17" spans="1:9" x14ac:dyDescent="0.2">
      <c r="A17" s="5" t="s">
        <v>34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9">
        <v>0</v>
      </c>
    </row>
    <row r="18" spans="1:9" x14ac:dyDescent="0.2">
      <c r="A18" s="5" t="s">
        <v>35</v>
      </c>
      <c r="B18" s="3">
        <v>6</v>
      </c>
      <c r="C18" s="3">
        <v>4</v>
      </c>
      <c r="D18" s="3">
        <v>7</v>
      </c>
      <c r="E18" s="3">
        <v>6</v>
      </c>
      <c r="F18" s="3">
        <v>2</v>
      </c>
      <c r="G18" s="3">
        <v>6</v>
      </c>
      <c r="H18" s="3">
        <v>2</v>
      </c>
      <c r="I18" s="9">
        <v>33</v>
      </c>
    </row>
    <row r="19" spans="1:9" x14ac:dyDescent="0.2">
      <c r="A19" s="5" t="s">
        <v>36</v>
      </c>
      <c r="B19" s="3">
        <v>1</v>
      </c>
      <c r="C19" s="3">
        <v>1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9">
        <v>7</v>
      </c>
    </row>
    <row r="20" spans="1:9" x14ac:dyDescent="0.2">
      <c r="A20" s="5" t="s">
        <v>37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9">
        <v>7</v>
      </c>
    </row>
    <row r="21" spans="1:9" x14ac:dyDescent="0.2">
      <c r="A21" s="7" t="s">
        <v>38</v>
      </c>
      <c r="B21" s="8">
        <v>0</v>
      </c>
      <c r="C21" s="8">
        <v>2</v>
      </c>
      <c r="D21" s="8">
        <v>0</v>
      </c>
      <c r="E21" s="8">
        <v>0</v>
      </c>
      <c r="F21" s="8">
        <v>4</v>
      </c>
      <c r="G21" s="8">
        <v>0</v>
      </c>
      <c r="H21" s="8">
        <v>0</v>
      </c>
      <c r="I21" s="10">
        <v>6</v>
      </c>
    </row>
    <row r="22" spans="1:9" x14ac:dyDescent="0.2">
      <c r="A22" s="5" t="s">
        <v>39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9">
        <v>0</v>
      </c>
    </row>
    <row r="23" spans="1:9" hidden="1" x14ac:dyDescent="0.2">
      <c r="A23" s="5" t="s">
        <v>84</v>
      </c>
      <c r="B23" s="3">
        <v>0.1763888888888889</v>
      </c>
      <c r="C23" s="3">
        <v>0.1763888888888889</v>
      </c>
      <c r="D23" s="3">
        <v>0.19722222222222222</v>
      </c>
      <c r="E23" s="3">
        <v>0.1763888888888889</v>
      </c>
      <c r="F23" s="3">
        <v>0.1763888888888889</v>
      </c>
      <c r="G23" s="3">
        <v>0.1763888888888889</v>
      </c>
      <c r="H23" s="3">
        <v>9.7222222222222224E-3</v>
      </c>
      <c r="I23" s="9">
        <v>1.088888888888889</v>
      </c>
    </row>
    <row r="24" spans="1:9" hidden="1" x14ac:dyDescent="0.2">
      <c r="A24" s="5" t="s">
        <v>85</v>
      </c>
      <c r="B24" s="3">
        <v>0.37916666666666665</v>
      </c>
      <c r="C24" s="3">
        <v>0.10486111111111111</v>
      </c>
      <c r="D24" s="3">
        <v>0.13680555555555554</v>
      </c>
      <c r="E24" s="3">
        <v>0.21875</v>
      </c>
      <c r="F24" s="3">
        <v>1.0416666666666666E-2</v>
      </c>
      <c r="G24" s="3">
        <v>0.29375000000000001</v>
      </c>
      <c r="H24" s="3">
        <v>1.0416666666666666E-2</v>
      </c>
      <c r="I24" s="9">
        <v>1.1541666666666668</v>
      </c>
    </row>
    <row r="25" spans="1:9" hidden="1" x14ac:dyDescent="0.2"/>
    <row r="26" spans="1:9" hidden="1" x14ac:dyDescent="0.2"/>
    <row r="27" spans="1:9" s="11" customFormat="1" ht="17" hidden="1" thickBot="1" x14ac:dyDescent="0.25"/>
    <row r="28" spans="1:9" hidden="1" x14ac:dyDescent="0.2"/>
    <row r="29" spans="1:9" hidden="1" x14ac:dyDescent="0.2">
      <c r="A29" s="4" t="s">
        <v>2</v>
      </c>
      <c r="B29" s="5">
        <v>5</v>
      </c>
      <c r="C29" t="str">
        <f>IF(OR($B$11=1,$B$11=2),"4-feb",IF($B$11=3,"11-feb",""))</f>
        <v/>
      </c>
    </row>
    <row r="30" spans="1:9" hidden="1" x14ac:dyDescent="0.2"/>
    <row r="31" spans="1:9" hidden="1" x14ac:dyDescent="0.2">
      <c r="A31" s="4" t="s">
        <v>28</v>
      </c>
      <c r="B31" s="4" t="s">
        <v>31</v>
      </c>
    </row>
    <row r="32" spans="1:9" hidden="1" x14ac:dyDescent="0.2">
      <c r="A32" s="4" t="s">
        <v>29</v>
      </c>
      <c r="B32" t="s">
        <v>41</v>
      </c>
      <c r="C32" t="s">
        <v>44</v>
      </c>
      <c r="D32" t="s">
        <v>47</v>
      </c>
      <c r="E32" t="s">
        <v>40</v>
      </c>
      <c r="F32" t="s">
        <v>50</v>
      </c>
      <c r="G32" t="s">
        <v>53</v>
      </c>
      <c r="H32" t="s">
        <v>83</v>
      </c>
      <c r="I32" t="s">
        <v>30</v>
      </c>
    </row>
    <row r="33" spans="1:9" hidden="1" x14ac:dyDescent="0.2">
      <c r="A33" s="5" t="s">
        <v>32</v>
      </c>
      <c r="B33" s="13">
        <v>7</v>
      </c>
      <c r="C33" s="13">
        <v>7</v>
      </c>
      <c r="D33" s="13">
        <v>8</v>
      </c>
      <c r="E33" s="13">
        <v>7</v>
      </c>
      <c r="F33" s="13">
        <v>7</v>
      </c>
      <c r="G33" s="13">
        <v>7</v>
      </c>
      <c r="H33" s="13">
        <v>3</v>
      </c>
      <c r="I33" s="14">
        <v>46</v>
      </c>
    </row>
    <row r="34" spans="1:9" hidden="1" x14ac:dyDescent="0.2">
      <c r="A34" s="7" t="s">
        <v>33</v>
      </c>
      <c r="B34" s="15">
        <v>7</v>
      </c>
      <c r="C34" s="15">
        <v>5</v>
      </c>
      <c r="D34" s="15">
        <v>8</v>
      </c>
      <c r="E34" s="15">
        <v>7</v>
      </c>
      <c r="F34" s="15">
        <v>3</v>
      </c>
      <c r="G34" s="15">
        <v>7</v>
      </c>
      <c r="H34" s="15">
        <v>3</v>
      </c>
      <c r="I34" s="16">
        <v>40</v>
      </c>
    </row>
    <row r="35" spans="1:9" hidden="1" x14ac:dyDescent="0.2">
      <c r="A35" s="5" t="s">
        <v>34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4">
        <v>0</v>
      </c>
    </row>
    <row r="36" spans="1:9" hidden="1" x14ac:dyDescent="0.2">
      <c r="A36" s="5" t="s">
        <v>35</v>
      </c>
      <c r="B36" s="13">
        <v>6</v>
      </c>
      <c r="C36" s="13">
        <v>4</v>
      </c>
      <c r="D36" s="13">
        <v>7</v>
      </c>
      <c r="E36" s="13">
        <v>6</v>
      </c>
      <c r="F36" s="13">
        <v>2</v>
      </c>
      <c r="G36" s="13">
        <v>6</v>
      </c>
      <c r="H36" s="13">
        <v>2</v>
      </c>
      <c r="I36" s="14">
        <v>33</v>
      </c>
    </row>
    <row r="37" spans="1:9" hidden="1" x14ac:dyDescent="0.2">
      <c r="A37" s="5" t="s">
        <v>36</v>
      </c>
      <c r="B37" s="13">
        <v>1</v>
      </c>
      <c r="C37" s="13">
        <v>1</v>
      </c>
      <c r="D37" s="13">
        <v>1</v>
      </c>
      <c r="E37" s="13">
        <v>1</v>
      </c>
      <c r="F37" s="13">
        <v>1</v>
      </c>
      <c r="G37" s="13">
        <v>1</v>
      </c>
      <c r="H37" s="13">
        <v>1</v>
      </c>
      <c r="I37" s="14">
        <v>7</v>
      </c>
    </row>
    <row r="38" spans="1:9" hidden="1" x14ac:dyDescent="0.2">
      <c r="A38" s="5" t="s">
        <v>37</v>
      </c>
      <c r="B38" s="13">
        <v>1</v>
      </c>
      <c r="C38" s="13">
        <v>1</v>
      </c>
      <c r="D38" s="13">
        <v>1</v>
      </c>
      <c r="E38" s="13">
        <v>1</v>
      </c>
      <c r="F38" s="13">
        <v>1</v>
      </c>
      <c r="G38" s="13">
        <v>1</v>
      </c>
      <c r="H38" s="13">
        <v>1</v>
      </c>
      <c r="I38" s="14">
        <v>7</v>
      </c>
    </row>
    <row r="39" spans="1:9" hidden="1" x14ac:dyDescent="0.2">
      <c r="A39" s="7" t="s">
        <v>38</v>
      </c>
      <c r="B39" s="15">
        <v>0</v>
      </c>
      <c r="C39" s="15">
        <v>2</v>
      </c>
      <c r="D39" s="15">
        <v>0</v>
      </c>
      <c r="E39" s="15">
        <v>0</v>
      </c>
      <c r="F39" s="15">
        <v>4</v>
      </c>
      <c r="G39" s="15">
        <v>0</v>
      </c>
      <c r="H39" s="15">
        <v>0</v>
      </c>
      <c r="I39" s="16">
        <v>6</v>
      </c>
    </row>
    <row r="40" spans="1:9" hidden="1" x14ac:dyDescent="0.2">
      <c r="A40" s="5" t="s">
        <v>39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4">
        <v>0</v>
      </c>
    </row>
    <row r="41" spans="1:9" x14ac:dyDescent="0.2">
      <c r="A41" s="17" t="s">
        <v>84</v>
      </c>
      <c r="B41" s="18">
        <v>0.1763888888888889</v>
      </c>
      <c r="C41" s="18">
        <v>0.1763888888888889</v>
      </c>
      <c r="D41" s="18">
        <v>0.19722222222222222</v>
      </c>
      <c r="E41" s="18">
        <v>0.1763888888888889</v>
      </c>
      <c r="F41" s="18">
        <v>0.1763888888888889</v>
      </c>
      <c r="G41" s="18">
        <v>0.1763888888888889</v>
      </c>
      <c r="H41" s="18">
        <v>9.7222222222222224E-3</v>
      </c>
      <c r="I41" s="19">
        <v>1.088888888888889</v>
      </c>
    </row>
    <row r="42" spans="1:9" x14ac:dyDescent="0.2">
      <c r="A42" s="5" t="s">
        <v>85</v>
      </c>
      <c r="B42" s="13">
        <v>0.37916666666666665</v>
      </c>
      <c r="C42" s="13">
        <v>0.10486111111111111</v>
      </c>
      <c r="D42" s="13">
        <v>0.13680555555555554</v>
      </c>
      <c r="E42" s="13">
        <v>0.21875</v>
      </c>
      <c r="F42" s="13">
        <v>1.0416666666666666E-2</v>
      </c>
      <c r="G42" s="13">
        <v>0.29375000000000001</v>
      </c>
      <c r="H42" s="13">
        <v>1.0416666666666666E-2</v>
      </c>
      <c r="I42" s="14">
        <v>1.1541666666666668</v>
      </c>
    </row>
  </sheetData>
  <mergeCells count="1">
    <mergeCell ref="A1:XFD3"/>
  </mergeCells>
  <pageMargins left="0.7" right="0.7" top="0.75" bottom="0.75" header="0.3" footer="0.3"/>
  <pageSetup orientation="portrait" horizontalDpi="0" verticalDpi="0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421"/>
  <sheetViews>
    <sheetView topLeftCell="A2" workbookViewId="0">
      <selection activeCell="C2" sqref="C2"/>
    </sheetView>
  </sheetViews>
  <sheetFormatPr baseColWidth="10" defaultRowHeight="16" x14ac:dyDescent="0.2"/>
  <cols>
    <col min="1" max="1" width="20.83203125" bestFit="1" customWidth="1"/>
  </cols>
  <sheetData>
    <row r="1" spans="1:12" ht="31" x14ac:dyDescent="0.2">
      <c r="A1" t="s">
        <v>0</v>
      </c>
      <c r="B1" t="s">
        <v>1</v>
      </c>
      <c r="C1" t="s">
        <v>2</v>
      </c>
      <c r="D1" t="s">
        <v>3</v>
      </c>
      <c r="H1" s="1" t="s">
        <v>7</v>
      </c>
      <c r="L1" s="6"/>
    </row>
    <row r="2" spans="1:12" ht="169" x14ac:dyDescent="0.2">
      <c r="A2" t="s">
        <v>32</v>
      </c>
      <c r="B2" t="s">
        <v>41</v>
      </c>
      <c r="C2">
        <v>1</v>
      </c>
      <c r="D2">
        <v>3</v>
      </c>
      <c r="H2" s="2" t="s">
        <v>56</v>
      </c>
      <c r="I2">
        <v>1</v>
      </c>
      <c r="L2" s="6"/>
    </row>
    <row r="3" spans="1:12" ht="29" x14ac:dyDescent="0.2">
      <c r="A3" t="s">
        <v>33</v>
      </c>
      <c r="B3" t="s">
        <v>41</v>
      </c>
      <c r="C3">
        <v>1</v>
      </c>
      <c r="D3">
        <v>3</v>
      </c>
      <c r="G3">
        <v>18</v>
      </c>
      <c r="H3" s="2" t="s">
        <v>41</v>
      </c>
      <c r="I3">
        <v>2</v>
      </c>
    </row>
    <row r="4" spans="1:12" ht="29" x14ac:dyDescent="0.2">
      <c r="A4" t="s">
        <v>34</v>
      </c>
      <c r="B4" t="s">
        <v>41</v>
      </c>
      <c r="C4">
        <v>1</v>
      </c>
      <c r="D4">
        <v>0</v>
      </c>
      <c r="G4" s="2">
        <v>20</v>
      </c>
      <c r="H4" s="2" t="s">
        <v>44</v>
      </c>
      <c r="I4">
        <v>3</v>
      </c>
    </row>
    <row r="5" spans="1:12" ht="29" x14ac:dyDescent="0.2">
      <c r="A5" t="s">
        <v>35</v>
      </c>
      <c r="B5" t="s">
        <v>41</v>
      </c>
      <c r="C5">
        <v>1</v>
      </c>
      <c r="D5">
        <v>0</v>
      </c>
      <c r="G5">
        <v>17</v>
      </c>
      <c r="H5" s="2" t="s">
        <v>47</v>
      </c>
      <c r="I5">
        <v>4</v>
      </c>
    </row>
    <row r="6" spans="1:12" ht="29" x14ac:dyDescent="0.2">
      <c r="A6" t="s">
        <v>36</v>
      </c>
      <c r="B6" t="s">
        <v>41</v>
      </c>
      <c r="C6">
        <v>1</v>
      </c>
      <c r="D6">
        <v>3</v>
      </c>
      <c r="G6">
        <v>16</v>
      </c>
      <c r="H6" s="2" t="s">
        <v>40</v>
      </c>
      <c r="I6">
        <v>5</v>
      </c>
    </row>
    <row r="7" spans="1:12" ht="29" x14ac:dyDescent="0.2">
      <c r="A7" t="s">
        <v>37</v>
      </c>
      <c r="B7" t="s">
        <v>41</v>
      </c>
      <c r="C7">
        <v>1</v>
      </c>
      <c r="D7">
        <v>3</v>
      </c>
      <c r="G7" s="2">
        <v>14</v>
      </c>
      <c r="H7" s="2" t="s">
        <v>50</v>
      </c>
      <c r="I7">
        <v>6</v>
      </c>
    </row>
    <row r="8" spans="1:12" ht="29" x14ac:dyDescent="0.2">
      <c r="A8" t="s">
        <v>38</v>
      </c>
      <c r="B8" t="s">
        <v>41</v>
      </c>
      <c r="C8">
        <v>1</v>
      </c>
      <c r="D8">
        <v>0</v>
      </c>
      <c r="G8">
        <v>19</v>
      </c>
      <c r="H8" s="2" t="s">
        <v>53</v>
      </c>
      <c r="I8">
        <v>7</v>
      </c>
    </row>
    <row r="9" spans="1:12" x14ac:dyDescent="0.2">
      <c r="A9" t="s">
        <v>39</v>
      </c>
      <c r="B9" t="s">
        <v>41</v>
      </c>
      <c r="C9">
        <v>1</v>
      </c>
      <c r="D9">
        <v>0</v>
      </c>
      <c r="G9">
        <v>2</v>
      </c>
      <c r="H9" t="s">
        <v>83</v>
      </c>
      <c r="I9">
        <v>8</v>
      </c>
    </row>
    <row r="10" spans="1:12" x14ac:dyDescent="0.2">
      <c r="A10" t="s">
        <v>84</v>
      </c>
      <c r="B10" t="s">
        <v>41</v>
      </c>
      <c r="C10">
        <v>1</v>
      </c>
      <c r="D10" s="12">
        <v>9.7222222222222224E-2</v>
      </c>
      <c r="I10">
        <v>9</v>
      </c>
    </row>
    <row r="11" spans="1:12" x14ac:dyDescent="0.2">
      <c r="A11" t="s">
        <v>85</v>
      </c>
      <c r="B11" t="s">
        <v>41</v>
      </c>
      <c r="C11">
        <v>1</v>
      </c>
      <c r="D11" s="12">
        <v>0</v>
      </c>
    </row>
    <row r="12" spans="1:12" x14ac:dyDescent="0.2">
      <c r="A12" t="s">
        <v>32</v>
      </c>
      <c r="B12" t="s">
        <v>44</v>
      </c>
      <c r="C12">
        <v>1</v>
      </c>
      <c r="D12">
        <v>3</v>
      </c>
    </row>
    <row r="13" spans="1:12" x14ac:dyDescent="0.2">
      <c r="A13" t="s">
        <v>33</v>
      </c>
      <c r="B13" t="s">
        <v>44</v>
      </c>
      <c r="C13">
        <v>1</v>
      </c>
      <c r="D13">
        <v>3</v>
      </c>
    </row>
    <row r="14" spans="1:12" x14ac:dyDescent="0.2">
      <c r="A14" t="s">
        <v>34</v>
      </c>
      <c r="B14" t="s">
        <v>44</v>
      </c>
      <c r="C14">
        <v>1</v>
      </c>
      <c r="D14">
        <v>0</v>
      </c>
    </row>
    <row r="15" spans="1:12" x14ac:dyDescent="0.2">
      <c r="A15" t="s">
        <v>35</v>
      </c>
      <c r="B15" t="s">
        <v>44</v>
      </c>
      <c r="C15">
        <v>1</v>
      </c>
      <c r="D15">
        <v>0</v>
      </c>
    </row>
    <row r="16" spans="1:12" x14ac:dyDescent="0.2">
      <c r="A16" t="s">
        <v>36</v>
      </c>
      <c r="B16" t="s">
        <v>44</v>
      </c>
      <c r="C16">
        <v>1</v>
      </c>
      <c r="D16">
        <v>3</v>
      </c>
    </row>
    <row r="17" spans="1:4" x14ac:dyDescent="0.2">
      <c r="A17" t="s">
        <v>37</v>
      </c>
      <c r="B17" t="s">
        <v>44</v>
      </c>
      <c r="C17">
        <v>1</v>
      </c>
      <c r="D17">
        <v>3</v>
      </c>
    </row>
    <row r="18" spans="1:4" x14ac:dyDescent="0.2">
      <c r="A18" t="s">
        <v>38</v>
      </c>
      <c r="B18" t="s">
        <v>44</v>
      </c>
      <c r="C18">
        <v>1</v>
      </c>
      <c r="D18">
        <v>0</v>
      </c>
    </row>
    <row r="19" spans="1:4" x14ac:dyDescent="0.2">
      <c r="A19" t="s">
        <v>39</v>
      </c>
      <c r="B19" t="s">
        <v>44</v>
      </c>
      <c r="C19">
        <v>1</v>
      </c>
      <c r="D19">
        <v>0</v>
      </c>
    </row>
    <row r="20" spans="1:4" x14ac:dyDescent="0.2">
      <c r="A20" t="s">
        <v>84</v>
      </c>
      <c r="B20" t="s">
        <v>44</v>
      </c>
      <c r="C20">
        <v>1</v>
      </c>
      <c r="D20" s="12">
        <v>9.7222222222222224E-2</v>
      </c>
    </row>
    <row r="21" spans="1:4" x14ac:dyDescent="0.2">
      <c r="A21" t="s">
        <v>85</v>
      </c>
      <c r="B21" t="s">
        <v>44</v>
      </c>
      <c r="C21">
        <v>1</v>
      </c>
      <c r="D21" s="12">
        <v>0</v>
      </c>
    </row>
    <row r="22" spans="1:4" x14ac:dyDescent="0.2">
      <c r="A22" t="s">
        <v>32</v>
      </c>
      <c r="B22" t="s">
        <v>47</v>
      </c>
      <c r="C22">
        <v>1</v>
      </c>
      <c r="D22">
        <v>3</v>
      </c>
    </row>
    <row r="23" spans="1:4" x14ac:dyDescent="0.2">
      <c r="A23" t="s">
        <v>33</v>
      </c>
      <c r="B23" t="s">
        <v>47</v>
      </c>
      <c r="C23">
        <v>1</v>
      </c>
      <c r="D23">
        <v>3</v>
      </c>
    </row>
    <row r="24" spans="1:4" x14ac:dyDescent="0.2">
      <c r="A24" t="s">
        <v>34</v>
      </c>
      <c r="B24" t="s">
        <v>47</v>
      </c>
      <c r="C24">
        <v>1</v>
      </c>
      <c r="D24">
        <v>0</v>
      </c>
    </row>
    <row r="25" spans="1:4" x14ac:dyDescent="0.2">
      <c r="A25" t="s">
        <v>35</v>
      </c>
      <c r="B25" t="s">
        <v>47</v>
      </c>
      <c r="C25">
        <v>1</v>
      </c>
      <c r="D25">
        <v>0</v>
      </c>
    </row>
    <row r="26" spans="1:4" x14ac:dyDescent="0.2">
      <c r="A26" t="s">
        <v>36</v>
      </c>
      <c r="B26" t="s">
        <v>47</v>
      </c>
      <c r="C26">
        <v>1</v>
      </c>
      <c r="D26">
        <v>3</v>
      </c>
    </row>
    <row r="27" spans="1:4" x14ac:dyDescent="0.2">
      <c r="A27" t="s">
        <v>37</v>
      </c>
      <c r="B27" t="s">
        <v>47</v>
      </c>
      <c r="C27">
        <v>1</v>
      </c>
      <c r="D27">
        <v>3</v>
      </c>
    </row>
    <row r="28" spans="1:4" x14ac:dyDescent="0.2">
      <c r="A28" t="s">
        <v>38</v>
      </c>
      <c r="B28" t="s">
        <v>47</v>
      </c>
      <c r="C28">
        <v>1</v>
      </c>
      <c r="D28">
        <v>0</v>
      </c>
    </row>
    <row r="29" spans="1:4" x14ac:dyDescent="0.2">
      <c r="A29" t="s">
        <v>39</v>
      </c>
      <c r="B29" t="s">
        <v>47</v>
      </c>
      <c r="C29">
        <v>1</v>
      </c>
      <c r="D29">
        <v>0</v>
      </c>
    </row>
    <row r="30" spans="1:4" x14ac:dyDescent="0.2">
      <c r="A30" t="s">
        <v>84</v>
      </c>
      <c r="B30" t="s">
        <v>47</v>
      </c>
      <c r="C30">
        <v>1</v>
      </c>
      <c r="D30" s="12">
        <v>9.7222222222222224E-2</v>
      </c>
    </row>
    <row r="31" spans="1:4" x14ac:dyDescent="0.2">
      <c r="A31" t="s">
        <v>85</v>
      </c>
      <c r="B31" t="s">
        <v>47</v>
      </c>
      <c r="C31">
        <v>1</v>
      </c>
      <c r="D31" s="12">
        <v>0</v>
      </c>
    </row>
    <row r="32" spans="1:4" x14ac:dyDescent="0.2">
      <c r="A32" t="s">
        <v>32</v>
      </c>
      <c r="B32" t="s">
        <v>40</v>
      </c>
      <c r="C32">
        <v>1</v>
      </c>
      <c r="D32">
        <v>3</v>
      </c>
    </row>
    <row r="33" spans="1:4" x14ac:dyDescent="0.2">
      <c r="A33" t="s">
        <v>33</v>
      </c>
      <c r="B33" t="s">
        <v>40</v>
      </c>
      <c r="C33">
        <v>1</v>
      </c>
      <c r="D33">
        <v>0</v>
      </c>
    </row>
    <row r="34" spans="1:4" x14ac:dyDescent="0.2">
      <c r="A34" t="s">
        <v>34</v>
      </c>
      <c r="B34" t="s">
        <v>40</v>
      </c>
      <c r="C34">
        <v>1</v>
      </c>
      <c r="D34">
        <v>0</v>
      </c>
    </row>
    <row r="35" spans="1:4" x14ac:dyDescent="0.2">
      <c r="A35" t="s">
        <v>35</v>
      </c>
      <c r="B35" t="s">
        <v>40</v>
      </c>
      <c r="C35">
        <v>1</v>
      </c>
      <c r="D35">
        <v>0</v>
      </c>
    </row>
    <row r="36" spans="1:4" x14ac:dyDescent="0.2">
      <c r="A36" t="s">
        <v>36</v>
      </c>
      <c r="B36" t="s">
        <v>40</v>
      </c>
      <c r="C36">
        <v>1</v>
      </c>
      <c r="D36">
        <v>0</v>
      </c>
    </row>
    <row r="37" spans="1:4" x14ac:dyDescent="0.2">
      <c r="A37" t="s">
        <v>37</v>
      </c>
      <c r="B37" t="s">
        <v>40</v>
      </c>
      <c r="C37">
        <v>1</v>
      </c>
      <c r="D37">
        <v>0</v>
      </c>
    </row>
    <row r="38" spans="1:4" x14ac:dyDescent="0.2">
      <c r="A38" t="s">
        <v>38</v>
      </c>
      <c r="B38" t="s">
        <v>40</v>
      </c>
      <c r="C38">
        <v>1</v>
      </c>
      <c r="D38">
        <v>3</v>
      </c>
    </row>
    <row r="39" spans="1:4" x14ac:dyDescent="0.2">
      <c r="A39" t="s">
        <v>39</v>
      </c>
      <c r="B39" t="s">
        <v>40</v>
      </c>
      <c r="C39">
        <v>1</v>
      </c>
      <c r="D39">
        <v>0</v>
      </c>
    </row>
    <row r="40" spans="1:4" x14ac:dyDescent="0.2">
      <c r="A40" t="s">
        <v>84</v>
      </c>
      <c r="B40" t="s">
        <v>40</v>
      </c>
      <c r="C40">
        <v>1</v>
      </c>
      <c r="D40" s="12">
        <v>9.7222222222222224E-2</v>
      </c>
    </row>
    <row r="41" spans="1:4" x14ac:dyDescent="0.2">
      <c r="A41" t="s">
        <v>85</v>
      </c>
      <c r="B41" t="s">
        <v>40</v>
      </c>
      <c r="C41">
        <v>1</v>
      </c>
      <c r="D41" s="12">
        <v>0</v>
      </c>
    </row>
    <row r="42" spans="1:4" x14ac:dyDescent="0.2">
      <c r="A42" t="s">
        <v>32</v>
      </c>
      <c r="B42" t="s">
        <v>50</v>
      </c>
      <c r="C42">
        <v>1</v>
      </c>
      <c r="D42">
        <v>3</v>
      </c>
    </row>
    <row r="43" spans="1:4" x14ac:dyDescent="0.2">
      <c r="A43" t="s">
        <v>33</v>
      </c>
      <c r="B43" t="s">
        <v>50</v>
      </c>
      <c r="C43">
        <v>1</v>
      </c>
      <c r="D43">
        <v>3</v>
      </c>
    </row>
    <row r="44" spans="1:4" x14ac:dyDescent="0.2">
      <c r="A44" t="s">
        <v>34</v>
      </c>
      <c r="B44" t="s">
        <v>50</v>
      </c>
      <c r="C44">
        <v>1</v>
      </c>
      <c r="D44">
        <v>0</v>
      </c>
    </row>
    <row r="45" spans="1:4" x14ac:dyDescent="0.2">
      <c r="A45" t="s">
        <v>35</v>
      </c>
      <c r="B45" t="s">
        <v>50</v>
      </c>
      <c r="C45">
        <v>1</v>
      </c>
      <c r="D45">
        <v>0</v>
      </c>
    </row>
    <row r="46" spans="1:4" x14ac:dyDescent="0.2">
      <c r="A46" t="s">
        <v>36</v>
      </c>
      <c r="B46" t="s">
        <v>50</v>
      </c>
      <c r="C46">
        <v>1</v>
      </c>
      <c r="D46">
        <v>3</v>
      </c>
    </row>
    <row r="47" spans="1:4" x14ac:dyDescent="0.2">
      <c r="A47" t="s">
        <v>37</v>
      </c>
      <c r="B47" t="s">
        <v>50</v>
      </c>
      <c r="C47">
        <v>1</v>
      </c>
      <c r="D47">
        <v>3</v>
      </c>
    </row>
    <row r="48" spans="1:4" x14ac:dyDescent="0.2">
      <c r="A48" t="s">
        <v>38</v>
      </c>
      <c r="B48" t="s">
        <v>50</v>
      </c>
      <c r="C48">
        <v>1</v>
      </c>
      <c r="D48">
        <v>0</v>
      </c>
    </row>
    <row r="49" spans="1:4" x14ac:dyDescent="0.2">
      <c r="A49" t="s">
        <v>39</v>
      </c>
      <c r="B49" t="s">
        <v>50</v>
      </c>
      <c r="C49">
        <v>1</v>
      </c>
      <c r="D49">
        <v>0</v>
      </c>
    </row>
    <row r="50" spans="1:4" x14ac:dyDescent="0.2">
      <c r="A50" t="s">
        <v>84</v>
      </c>
      <c r="B50" t="s">
        <v>50</v>
      </c>
      <c r="C50">
        <v>1</v>
      </c>
      <c r="D50" s="12">
        <v>9.7222222222222224E-2</v>
      </c>
    </row>
    <row r="51" spans="1:4" x14ac:dyDescent="0.2">
      <c r="A51" t="s">
        <v>85</v>
      </c>
      <c r="B51" t="s">
        <v>50</v>
      </c>
      <c r="C51">
        <v>1</v>
      </c>
      <c r="D51" s="12">
        <v>0</v>
      </c>
    </row>
    <row r="52" spans="1:4" x14ac:dyDescent="0.2">
      <c r="A52" t="s">
        <v>32</v>
      </c>
      <c r="B52" t="s">
        <v>53</v>
      </c>
      <c r="C52">
        <v>1</v>
      </c>
      <c r="D52">
        <v>3</v>
      </c>
    </row>
    <row r="53" spans="1:4" x14ac:dyDescent="0.2">
      <c r="A53" t="s">
        <v>33</v>
      </c>
      <c r="B53" t="s">
        <v>53</v>
      </c>
      <c r="C53">
        <v>1</v>
      </c>
      <c r="D53">
        <v>3</v>
      </c>
    </row>
    <row r="54" spans="1:4" x14ac:dyDescent="0.2">
      <c r="A54" t="s">
        <v>34</v>
      </c>
      <c r="B54" t="s">
        <v>53</v>
      </c>
      <c r="C54">
        <v>1</v>
      </c>
      <c r="D54">
        <v>0</v>
      </c>
    </row>
    <row r="55" spans="1:4" x14ac:dyDescent="0.2">
      <c r="A55" t="s">
        <v>35</v>
      </c>
      <c r="B55" t="s">
        <v>53</v>
      </c>
      <c r="C55">
        <v>1</v>
      </c>
      <c r="D55">
        <v>0</v>
      </c>
    </row>
    <row r="56" spans="1:4" x14ac:dyDescent="0.2">
      <c r="A56" t="s">
        <v>36</v>
      </c>
      <c r="B56" t="s">
        <v>53</v>
      </c>
      <c r="C56">
        <v>1</v>
      </c>
      <c r="D56">
        <v>3</v>
      </c>
    </row>
    <row r="57" spans="1:4" x14ac:dyDescent="0.2">
      <c r="A57" t="s">
        <v>37</v>
      </c>
      <c r="B57" t="s">
        <v>53</v>
      </c>
      <c r="C57">
        <v>1</v>
      </c>
      <c r="D57">
        <v>3</v>
      </c>
    </row>
    <row r="58" spans="1:4" x14ac:dyDescent="0.2">
      <c r="A58" t="s">
        <v>38</v>
      </c>
      <c r="B58" t="s">
        <v>53</v>
      </c>
      <c r="C58">
        <v>1</v>
      </c>
      <c r="D58">
        <v>0</v>
      </c>
    </row>
    <row r="59" spans="1:4" x14ac:dyDescent="0.2">
      <c r="A59" t="s">
        <v>39</v>
      </c>
      <c r="B59" t="s">
        <v>53</v>
      </c>
      <c r="C59">
        <v>1</v>
      </c>
      <c r="D59">
        <v>0</v>
      </c>
    </row>
    <row r="60" spans="1:4" x14ac:dyDescent="0.2">
      <c r="A60" t="s">
        <v>84</v>
      </c>
      <c r="B60" t="s">
        <v>53</v>
      </c>
      <c r="C60">
        <v>1</v>
      </c>
      <c r="D60" s="12">
        <v>9.7222222222222224E-2</v>
      </c>
    </row>
    <row r="61" spans="1:4" x14ac:dyDescent="0.2">
      <c r="A61" t="s">
        <v>85</v>
      </c>
      <c r="B61" t="s">
        <v>53</v>
      </c>
      <c r="C61">
        <v>1</v>
      </c>
      <c r="D61" s="12">
        <v>0</v>
      </c>
    </row>
    <row r="62" spans="1:4" x14ac:dyDescent="0.2">
      <c r="A62" t="s">
        <v>32</v>
      </c>
      <c r="B62" t="s">
        <v>83</v>
      </c>
      <c r="C62">
        <v>1</v>
      </c>
      <c r="D62">
        <v>0</v>
      </c>
    </row>
    <row r="63" spans="1:4" x14ac:dyDescent="0.2">
      <c r="A63" t="s">
        <v>33</v>
      </c>
      <c r="B63" t="s">
        <v>83</v>
      </c>
      <c r="C63">
        <v>1</v>
      </c>
      <c r="D63">
        <v>0</v>
      </c>
    </row>
    <row r="64" spans="1:4" x14ac:dyDescent="0.2">
      <c r="A64" t="s">
        <v>34</v>
      </c>
      <c r="B64" t="s">
        <v>83</v>
      </c>
      <c r="C64">
        <v>1</v>
      </c>
      <c r="D64">
        <v>0</v>
      </c>
    </row>
    <row r="65" spans="1:4" x14ac:dyDescent="0.2">
      <c r="A65" t="s">
        <v>35</v>
      </c>
      <c r="B65" t="s">
        <v>83</v>
      </c>
      <c r="C65">
        <v>1</v>
      </c>
      <c r="D65">
        <v>0</v>
      </c>
    </row>
    <row r="66" spans="1:4" x14ac:dyDescent="0.2">
      <c r="A66" t="s">
        <v>36</v>
      </c>
      <c r="B66" t="s">
        <v>83</v>
      </c>
      <c r="C66">
        <v>1</v>
      </c>
      <c r="D66">
        <v>0</v>
      </c>
    </row>
    <row r="67" spans="1:4" x14ac:dyDescent="0.2">
      <c r="A67" t="s">
        <v>37</v>
      </c>
      <c r="B67" t="s">
        <v>83</v>
      </c>
      <c r="C67">
        <v>1</v>
      </c>
      <c r="D67">
        <v>0</v>
      </c>
    </row>
    <row r="68" spans="1:4" x14ac:dyDescent="0.2">
      <c r="A68" t="s">
        <v>38</v>
      </c>
      <c r="B68" t="s">
        <v>83</v>
      </c>
      <c r="C68">
        <v>1</v>
      </c>
      <c r="D68">
        <v>0</v>
      </c>
    </row>
    <row r="69" spans="1:4" x14ac:dyDescent="0.2">
      <c r="A69" t="s">
        <v>39</v>
      </c>
      <c r="B69" t="s">
        <v>83</v>
      </c>
      <c r="C69">
        <v>1</v>
      </c>
      <c r="D69">
        <v>0</v>
      </c>
    </row>
    <row r="70" spans="1:4" x14ac:dyDescent="0.2">
      <c r="A70" t="s">
        <v>84</v>
      </c>
      <c r="B70" t="s">
        <v>83</v>
      </c>
      <c r="C70">
        <v>1</v>
      </c>
      <c r="D70" s="12">
        <v>0</v>
      </c>
    </row>
    <row r="71" spans="1:4" x14ac:dyDescent="0.2">
      <c r="A71" t="s">
        <v>85</v>
      </c>
      <c r="B71" t="s">
        <v>83</v>
      </c>
      <c r="C71">
        <v>1</v>
      </c>
      <c r="D71" s="12">
        <v>0</v>
      </c>
    </row>
    <row r="72" spans="1:4" x14ac:dyDescent="0.2">
      <c r="A72" t="s">
        <v>32</v>
      </c>
      <c r="B72" t="s">
        <v>41</v>
      </c>
      <c r="C72">
        <v>2</v>
      </c>
      <c r="D72">
        <v>5</v>
      </c>
    </row>
    <row r="73" spans="1:4" x14ac:dyDescent="0.2">
      <c r="A73" t="s">
        <v>33</v>
      </c>
      <c r="B73" t="s">
        <v>41</v>
      </c>
      <c r="C73">
        <v>2</v>
      </c>
      <c r="D73">
        <v>5</v>
      </c>
    </row>
    <row r="74" spans="1:4" x14ac:dyDescent="0.2">
      <c r="A74" t="s">
        <v>34</v>
      </c>
      <c r="B74" t="s">
        <v>41</v>
      </c>
      <c r="C74">
        <v>2</v>
      </c>
      <c r="D74">
        <v>0</v>
      </c>
    </row>
    <row r="75" spans="1:4" x14ac:dyDescent="0.2">
      <c r="A75" t="s">
        <v>35</v>
      </c>
      <c r="B75" t="s">
        <v>41</v>
      </c>
      <c r="C75">
        <v>2</v>
      </c>
      <c r="D75">
        <v>5</v>
      </c>
    </row>
    <row r="76" spans="1:4" x14ac:dyDescent="0.2">
      <c r="A76" t="s">
        <v>36</v>
      </c>
      <c r="B76" t="s">
        <v>41</v>
      </c>
      <c r="C76">
        <v>2</v>
      </c>
      <c r="D76">
        <v>0</v>
      </c>
    </row>
    <row r="77" spans="1:4" x14ac:dyDescent="0.2">
      <c r="A77" t="s">
        <v>37</v>
      </c>
      <c r="B77" t="s">
        <v>41</v>
      </c>
      <c r="C77">
        <v>2</v>
      </c>
      <c r="D77">
        <v>5</v>
      </c>
    </row>
    <row r="78" spans="1:4" x14ac:dyDescent="0.2">
      <c r="A78" t="s">
        <v>38</v>
      </c>
      <c r="B78" t="s">
        <v>41</v>
      </c>
      <c r="C78">
        <v>2</v>
      </c>
      <c r="D78">
        <v>0</v>
      </c>
    </row>
    <row r="79" spans="1:4" x14ac:dyDescent="0.2">
      <c r="A79" t="s">
        <v>39</v>
      </c>
      <c r="B79" t="s">
        <v>41</v>
      </c>
      <c r="C79">
        <v>2</v>
      </c>
      <c r="D79">
        <v>0</v>
      </c>
    </row>
    <row r="80" spans="1:4" x14ac:dyDescent="0.2">
      <c r="A80" t="s">
        <v>84</v>
      </c>
      <c r="B80" t="s">
        <v>41</v>
      </c>
      <c r="C80">
        <v>2</v>
      </c>
      <c r="D80" s="12">
        <v>6.8749999999999992E-2</v>
      </c>
    </row>
    <row r="81" spans="1:4" x14ac:dyDescent="0.2">
      <c r="A81" t="s">
        <v>85</v>
      </c>
      <c r="B81" t="s">
        <v>41</v>
      </c>
      <c r="C81">
        <v>2</v>
      </c>
      <c r="D81" s="12">
        <v>0</v>
      </c>
    </row>
    <row r="82" spans="1:4" x14ac:dyDescent="0.2">
      <c r="A82" t="s">
        <v>32</v>
      </c>
      <c r="B82" t="s">
        <v>44</v>
      </c>
      <c r="C82">
        <v>2</v>
      </c>
      <c r="D82">
        <v>5</v>
      </c>
    </row>
    <row r="83" spans="1:4" x14ac:dyDescent="0.2">
      <c r="A83" t="s">
        <v>33</v>
      </c>
      <c r="B83" t="s">
        <v>44</v>
      </c>
      <c r="C83">
        <v>2</v>
      </c>
      <c r="D83">
        <v>5</v>
      </c>
    </row>
    <row r="84" spans="1:4" x14ac:dyDescent="0.2">
      <c r="A84" t="s">
        <v>34</v>
      </c>
      <c r="B84" t="s">
        <v>44</v>
      </c>
      <c r="C84">
        <v>2</v>
      </c>
      <c r="D84">
        <v>0</v>
      </c>
    </row>
    <row r="85" spans="1:4" x14ac:dyDescent="0.2">
      <c r="A85" t="s">
        <v>35</v>
      </c>
      <c r="B85" t="s">
        <v>44</v>
      </c>
      <c r="C85">
        <v>2</v>
      </c>
      <c r="D85">
        <v>5</v>
      </c>
    </row>
    <row r="86" spans="1:4" x14ac:dyDescent="0.2">
      <c r="A86" t="s">
        <v>36</v>
      </c>
      <c r="B86" t="s">
        <v>44</v>
      </c>
      <c r="C86">
        <v>2</v>
      </c>
      <c r="D86">
        <v>0</v>
      </c>
    </row>
    <row r="87" spans="1:4" x14ac:dyDescent="0.2">
      <c r="A87" t="s">
        <v>37</v>
      </c>
      <c r="B87" t="s">
        <v>44</v>
      </c>
      <c r="C87">
        <v>2</v>
      </c>
      <c r="D87">
        <v>5</v>
      </c>
    </row>
    <row r="88" spans="1:4" x14ac:dyDescent="0.2">
      <c r="A88" t="s">
        <v>38</v>
      </c>
      <c r="B88" t="s">
        <v>44</v>
      </c>
      <c r="C88">
        <v>2</v>
      </c>
      <c r="D88">
        <v>0</v>
      </c>
    </row>
    <row r="89" spans="1:4" x14ac:dyDescent="0.2">
      <c r="A89" t="s">
        <v>39</v>
      </c>
      <c r="B89" t="s">
        <v>44</v>
      </c>
      <c r="C89">
        <v>2</v>
      </c>
      <c r="D89">
        <v>0</v>
      </c>
    </row>
    <row r="90" spans="1:4" x14ac:dyDescent="0.2">
      <c r="A90" t="s">
        <v>84</v>
      </c>
      <c r="B90" t="s">
        <v>44</v>
      </c>
      <c r="C90">
        <v>2</v>
      </c>
      <c r="D90" s="12">
        <v>6.8749999999999992E-2</v>
      </c>
    </row>
    <row r="91" spans="1:4" x14ac:dyDescent="0.2">
      <c r="A91" t="s">
        <v>85</v>
      </c>
      <c r="B91" t="s">
        <v>44</v>
      </c>
      <c r="C91">
        <v>2</v>
      </c>
      <c r="D91" s="12">
        <v>0</v>
      </c>
    </row>
    <row r="92" spans="1:4" x14ac:dyDescent="0.2">
      <c r="A92" t="s">
        <v>32</v>
      </c>
      <c r="B92" t="s">
        <v>47</v>
      </c>
      <c r="C92">
        <v>2</v>
      </c>
      <c r="D92">
        <v>5</v>
      </c>
    </row>
    <row r="93" spans="1:4" x14ac:dyDescent="0.2">
      <c r="A93" t="s">
        <v>33</v>
      </c>
      <c r="B93" t="s">
        <v>47</v>
      </c>
      <c r="C93">
        <v>2</v>
      </c>
      <c r="D93">
        <v>5</v>
      </c>
    </row>
    <row r="94" spans="1:4" x14ac:dyDescent="0.2">
      <c r="A94" t="s">
        <v>34</v>
      </c>
      <c r="B94" t="s">
        <v>47</v>
      </c>
      <c r="C94">
        <v>2</v>
      </c>
      <c r="D94">
        <v>0</v>
      </c>
    </row>
    <row r="95" spans="1:4" x14ac:dyDescent="0.2">
      <c r="A95" t="s">
        <v>35</v>
      </c>
      <c r="B95" t="s">
        <v>47</v>
      </c>
      <c r="C95">
        <v>2</v>
      </c>
      <c r="D95">
        <v>5</v>
      </c>
    </row>
    <row r="96" spans="1:4" x14ac:dyDescent="0.2">
      <c r="A96" t="s">
        <v>36</v>
      </c>
      <c r="B96" t="s">
        <v>47</v>
      </c>
      <c r="C96">
        <v>2</v>
      </c>
      <c r="D96">
        <v>0</v>
      </c>
    </row>
    <row r="97" spans="1:4" x14ac:dyDescent="0.2">
      <c r="A97" t="s">
        <v>37</v>
      </c>
      <c r="B97" t="s">
        <v>47</v>
      </c>
      <c r="C97">
        <v>2</v>
      </c>
      <c r="D97">
        <v>5</v>
      </c>
    </row>
    <row r="98" spans="1:4" x14ac:dyDescent="0.2">
      <c r="A98" t="s">
        <v>38</v>
      </c>
      <c r="B98" t="s">
        <v>47</v>
      </c>
      <c r="C98">
        <v>2</v>
      </c>
      <c r="D98">
        <v>0</v>
      </c>
    </row>
    <row r="99" spans="1:4" x14ac:dyDescent="0.2">
      <c r="A99" t="s">
        <v>39</v>
      </c>
      <c r="B99" t="s">
        <v>47</v>
      </c>
      <c r="C99">
        <v>2</v>
      </c>
      <c r="D99">
        <v>0</v>
      </c>
    </row>
    <row r="100" spans="1:4" x14ac:dyDescent="0.2">
      <c r="A100" t="s">
        <v>84</v>
      </c>
      <c r="B100" t="s">
        <v>47</v>
      </c>
      <c r="C100">
        <v>2</v>
      </c>
      <c r="D100" s="12">
        <v>6.8749999999999992E-2</v>
      </c>
    </row>
    <row r="101" spans="1:4" x14ac:dyDescent="0.2">
      <c r="A101" t="s">
        <v>85</v>
      </c>
      <c r="B101" t="s">
        <v>47</v>
      </c>
      <c r="C101">
        <v>2</v>
      </c>
      <c r="D101" s="12">
        <v>0</v>
      </c>
    </row>
    <row r="102" spans="1:4" x14ac:dyDescent="0.2">
      <c r="A102" t="s">
        <v>32</v>
      </c>
      <c r="B102" t="s">
        <v>40</v>
      </c>
      <c r="C102">
        <v>2</v>
      </c>
      <c r="D102">
        <v>5</v>
      </c>
    </row>
    <row r="103" spans="1:4" x14ac:dyDescent="0.2">
      <c r="A103" t="s">
        <v>33</v>
      </c>
      <c r="B103" t="s">
        <v>40</v>
      </c>
      <c r="C103">
        <v>2</v>
      </c>
      <c r="D103">
        <v>3</v>
      </c>
    </row>
    <row r="104" spans="1:4" x14ac:dyDescent="0.2">
      <c r="A104" t="s">
        <v>34</v>
      </c>
      <c r="B104" t="s">
        <v>40</v>
      </c>
      <c r="C104">
        <v>2</v>
      </c>
      <c r="D104">
        <v>0</v>
      </c>
    </row>
    <row r="105" spans="1:4" x14ac:dyDescent="0.2">
      <c r="A105" t="s">
        <v>35</v>
      </c>
      <c r="B105" t="s">
        <v>40</v>
      </c>
      <c r="C105">
        <v>2</v>
      </c>
      <c r="D105">
        <v>3</v>
      </c>
    </row>
    <row r="106" spans="1:4" x14ac:dyDescent="0.2">
      <c r="A106" t="s">
        <v>36</v>
      </c>
      <c r="B106" t="s">
        <v>40</v>
      </c>
      <c r="C106">
        <v>2</v>
      </c>
      <c r="D106">
        <v>0</v>
      </c>
    </row>
    <row r="107" spans="1:4" x14ac:dyDescent="0.2">
      <c r="A107" t="s">
        <v>37</v>
      </c>
      <c r="B107" t="s">
        <v>40</v>
      </c>
      <c r="C107">
        <v>2</v>
      </c>
      <c r="D107">
        <v>3</v>
      </c>
    </row>
    <row r="108" spans="1:4" x14ac:dyDescent="0.2">
      <c r="A108" t="s">
        <v>38</v>
      </c>
      <c r="B108" t="s">
        <v>40</v>
      </c>
      <c r="C108">
        <v>2</v>
      </c>
      <c r="D108">
        <v>2</v>
      </c>
    </row>
    <row r="109" spans="1:4" x14ac:dyDescent="0.2">
      <c r="A109" t="s">
        <v>39</v>
      </c>
      <c r="B109" t="s">
        <v>40</v>
      </c>
      <c r="C109">
        <v>2</v>
      </c>
      <c r="D109">
        <v>0</v>
      </c>
    </row>
    <row r="110" spans="1:4" x14ac:dyDescent="0.2">
      <c r="A110" t="s">
        <v>84</v>
      </c>
      <c r="B110" t="s">
        <v>40</v>
      </c>
      <c r="C110">
        <v>2</v>
      </c>
      <c r="D110" s="12">
        <v>6.8749999999999992E-2</v>
      </c>
    </row>
    <row r="111" spans="1:4" x14ac:dyDescent="0.2">
      <c r="A111" t="s">
        <v>85</v>
      </c>
      <c r="B111" t="s">
        <v>40</v>
      </c>
      <c r="C111">
        <v>2</v>
      </c>
      <c r="D111" s="12">
        <v>0</v>
      </c>
    </row>
    <row r="112" spans="1:4" x14ac:dyDescent="0.2">
      <c r="A112" t="s">
        <v>32</v>
      </c>
      <c r="B112" t="s">
        <v>50</v>
      </c>
      <c r="C112">
        <v>2</v>
      </c>
      <c r="D112">
        <v>5</v>
      </c>
    </row>
    <row r="113" spans="1:4" x14ac:dyDescent="0.2">
      <c r="A113" t="s">
        <v>33</v>
      </c>
      <c r="B113" t="s">
        <v>50</v>
      </c>
      <c r="C113">
        <v>2</v>
      </c>
      <c r="D113">
        <v>5</v>
      </c>
    </row>
    <row r="114" spans="1:4" x14ac:dyDescent="0.2">
      <c r="A114" t="s">
        <v>34</v>
      </c>
      <c r="B114" t="s">
        <v>50</v>
      </c>
      <c r="C114">
        <v>2</v>
      </c>
      <c r="D114">
        <v>0</v>
      </c>
    </row>
    <row r="115" spans="1:4" x14ac:dyDescent="0.2">
      <c r="A115" t="s">
        <v>35</v>
      </c>
      <c r="B115" t="s">
        <v>50</v>
      </c>
      <c r="C115">
        <v>2</v>
      </c>
      <c r="D115">
        <v>5</v>
      </c>
    </row>
    <row r="116" spans="1:4" x14ac:dyDescent="0.2">
      <c r="A116" t="s">
        <v>36</v>
      </c>
      <c r="B116" t="s">
        <v>50</v>
      </c>
      <c r="C116">
        <v>2</v>
      </c>
      <c r="D116">
        <v>0</v>
      </c>
    </row>
    <row r="117" spans="1:4" x14ac:dyDescent="0.2">
      <c r="A117" t="s">
        <v>37</v>
      </c>
      <c r="B117" t="s">
        <v>50</v>
      </c>
      <c r="C117">
        <v>2</v>
      </c>
      <c r="D117">
        <v>5</v>
      </c>
    </row>
    <row r="118" spans="1:4" x14ac:dyDescent="0.2">
      <c r="A118" t="s">
        <v>38</v>
      </c>
      <c r="B118" t="s">
        <v>50</v>
      </c>
      <c r="C118">
        <v>2</v>
      </c>
      <c r="D118">
        <v>0</v>
      </c>
    </row>
    <row r="119" spans="1:4" x14ac:dyDescent="0.2">
      <c r="A119" t="s">
        <v>39</v>
      </c>
      <c r="B119" t="s">
        <v>50</v>
      </c>
      <c r="C119">
        <v>2</v>
      </c>
      <c r="D119">
        <v>0</v>
      </c>
    </row>
    <row r="120" spans="1:4" x14ac:dyDescent="0.2">
      <c r="A120" t="s">
        <v>84</v>
      </c>
      <c r="B120" t="s">
        <v>50</v>
      </c>
      <c r="C120">
        <v>2</v>
      </c>
      <c r="D120" s="12">
        <v>6.8749999999999992E-2</v>
      </c>
    </row>
    <row r="121" spans="1:4" x14ac:dyDescent="0.2">
      <c r="A121" t="s">
        <v>85</v>
      </c>
      <c r="B121" t="s">
        <v>50</v>
      </c>
      <c r="C121">
        <v>2</v>
      </c>
      <c r="D121" s="12">
        <v>0</v>
      </c>
    </row>
    <row r="122" spans="1:4" x14ac:dyDescent="0.2">
      <c r="A122" t="s">
        <v>32</v>
      </c>
      <c r="B122" t="s">
        <v>53</v>
      </c>
      <c r="C122">
        <v>2</v>
      </c>
      <c r="D122">
        <v>5</v>
      </c>
    </row>
    <row r="123" spans="1:4" x14ac:dyDescent="0.2">
      <c r="A123" t="s">
        <v>33</v>
      </c>
      <c r="B123" t="s">
        <v>53</v>
      </c>
      <c r="C123">
        <v>2</v>
      </c>
      <c r="D123">
        <v>5</v>
      </c>
    </row>
    <row r="124" spans="1:4" x14ac:dyDescent="0.2">
      <c r="A124" t="s">
        <v>34</v>
      </c>
      <c r="B124" t="s">
        <v>53</v>
      </c>
      <c r="C124">
        <v>2</v>
      </c>
      <c r="D124">
        <v>0</v>
      </c>
    </row>
    <row r="125" spans="1:4" x14ac:dyDescent="0.2">
      <c r="A125" t="s">
        <v>35</v>
      </c>
      <c r="B125" t="s">
        <v>53</v>
      </c>
      <c r="C125">
        <v>2</v>
      </c>
      <c r="D125">
        <v>5</v>
      </c>
    </row>
    <row r="126" spans="1:4" x14ac:dyDescent="0.2">
      <c r="A126" t="s">
        <v>36</v>
      </c>
      <c r="B126" t="s">
        <v>53</v>
      </c>
      <c r="C126">
        <v>2</v>
      </c>
      <c r="D126">
        <v>0</v>
      </c>
    </row>
    <row r="127" spans="1:4" x14ac:dyDescent="0.2">
      <c r="A127" t="s">
        <v>37</v>
      </c>
      <c r="B127" t="s">
        <v>53</v>
      </c>
      <c r="C127">
        <v>2</v>
      </c>
      <c r="D127">
        <v>5</v>
      </c>
    </row>
    <row r="128" spans="1:4" x14ac:dyDescent="0.2">
      <c r="A128" t="s">
        <v>38</v>
      </c>
      <c r="B128" t="s">
        <v>53</v>
      </c>
      <c r="C128">
        <v>2</v>
      </c>
      <c r="D128">
        <v>0</v>
      </c>
    </row>
    <row r="129" spans="1:4" x14ac:dyDescent="0.2">
      <c r="A129" t="s">
        <v>39</v>
      </c>
      <c r="B129" t="s">
        <v>53</v>
      </c>
      <c r="C129">
        <v>2</v>
      </c>
      <c r="D129">
        <v>0</v>
      </c>
    </row>
    <row r="130" spans="1:4" x14ac:dyDescent="0.2">
      <c r="A130" t="s">
        <v>84</v>
      </c>
      <c r="B130" t="s">
        <v>53</v>
      </c>
      <c r="C130">
        <v>2</v>
      </c>
      <c r="D130" s="12">
        <v>6.8749999999999992E-2</v>
      </c>
    </row>
    <row r="131" spans="1:4" x14ac:dyDescent="0.2">
      <c r="A131" t="s">
        <v>85</v>
      </c>
      <c r="B131" t="s">
        <v>53</v>
      </c>
      <c r="C131">
        <v>2</v>
      </c>
      <c r="D131" s="12">
        <v>0</v>
      </c>
    </row>
    <row r="132" spans="1:4" x14ac:dyDescent="0.2">
      <c r="A132" t="s">
        <v>32</v>
      </c>
      <c r="B132" t="s">
        <v>83</v>
      </c>
      <c r="C132">
        <v>2</v>
      </c>
      <c r="D132">
        <v>3</v>
      </c>
    </row>
    <row r="133" spans="1:4" x14ac:dyDescent="0.2">
      <c r="A133" t="s">
        <v>33</v>
      </c>
      <c r="B133" t="s">
        <v>83</v>
      </c>
      <c r="C133">
        <v>2</v>
      </c>
      <c r="D133">
        <v>3</v>
      </c>
    </row>
    <row r="134" spans="1:4" x14ac:dyDescent="0.2">
      <c r="A134" t="s">
        <v>34</v>
      </c>
      <c r="B134" t="s">
        <v>83</v>
      </c>
      <c r="C134">
        <v>2</v>
      </c>
      <c r="D134">
        <v>0</v>
      </c>
    </row>
    <row r="135" spans="1:4" x14ac:dyDescent="0.2">
      <c r="A135" t="s">
        <v>35</v>
      </c>
      <c r="B135" t="s">
        <v>83</v>
      </c>
      <c r="C135">
        <v>2</v>
      </c>
      <c r="D135">
        <v>3</v>
      </c>
    </row>
    <row r="136" spans="1:4" x14ac:dyDescent="0.2">
      <c r="A136" t="s">
        <v>36</v>
      </c>
      <c r="B136" t="s">
        <v>83</v>
      </c>
      <c r="C136">
        <v>2</v>
      </c>
      <c r="D136">
        <v>0</v>
      </c>
    </row>
    <row r="137" spans="1:4" x14ac:dyDescent="0.2">
      <c r="A137" t="s">
        <v>37</v>
      </c>
      <c r="B137" t="s">
        <v>83</v>
      </c>
      <c r="C137">
        <v>2</v>
      </c>
      <c r="D137">
        <v>3</v>
      </c>
    </row>
    <row r="138" spans="1:4" x14ac:dyDescent="0.2">
      <c r="A138" t="s">
        <v>38</v>
      </c>
      <c r="B138" t="s">
        <v>83</v>
      </c>
      <c r="C138">
        <v>2</v>
      </c>
      <c r="D138">
        <v>0</v>
      </c>
    </row>
    <row r="139" spans="1:4" x14ac:dyDescent="0.2">
      <c r="A139" t="s">
        <v>39</v>
      </c>
      <c r="B139" t="s">
        <v>83</v>
      </c>
      <c r="C139">
        <v>2</v>
      </c>
      <c r="D139">
        <v>0</v>
      </c>
    </row>
    <row r="140" spans="1:4" x14ac:dyDescent="0.2">
      <c r="A140" t="s">
        <v>84</v>
      </c>
      <c r="B140" t="s">
        <v>83</v>
      </c>
      <c r="C140">
        <v>2</v>
      </c>
      <c r="D140" s="12">
        <v>4.7916666666666663E-2</v>
      </c>
    </row>
    <row r="141" spans="1:4" x14ac:dyDescent="0.2">
      <c r="A141" t="s">
        <v>85</v>
      </c>
      <c r="B141" t="s">
        <v>83</v>
      </c>
      <c r="C141">
        <v>2</v>
      </c>
      <c r="D141" s="12">
        <v>0</v>
      </c>
    </row>
    <row r="142" spans="1:4" x14ac:dyDescent="0.2">
      <c r="A142" t="s">
        <v>32</v>
      </c>
      <c r="B142" t="s">
        <v>41</v>
      </c>
      <c r="C142">
        <v>3</v>
      </c>
      <c r="D142">
        <v>6</v>
      </c>
    </row>
    <row r="143" spans="1:4" x14ac:dyDescent="0.2">
      <c r="A143" t="s">
        <v>33</v>
      </c>
      <c r="B143" t="s">
        <v>41</v>
      </c>
      <c r="C143">
        <v>3</v>
      </c>
      <c r="D143">
        <v>5</v>
      </c>
    </row>
    <row r="144" spans="1:4" x14ac:dyDescent="0.2">
      <c r="A144" t="s">
        <v>34</v>
      </c>
      <c r="B144" t="s">
        <v>41</v>
      </c>
      <c r="C144">
        <v>3</v>
      </c>
      <c r="D144">
        <v>0</v>
      </c>
    </row>
    <row r="145" spans="1:4" x14ac:dyDescent="0.2">
      <c r="A145" t="s">
        <v>35</v>
      </c>
      <c r="B145" t="s">
        <v>41</v>
      </c>
      <c r="C145">
        <v>3</v>
      </c>
      <c r="D145">
        <v>2</v>
      </c>
    </row>
    <row r="146" spans="1:4" x14ac:dyDescent="0.2">
      <c r="A146" t="s">
        <v>36</v>
      </c>
      <c r="B146" t="s">
        <v>41</v>
      </c>
      <c r="C146">
        <v>3</v>
      </c>
      <c r="D146">
        <v>3</v>
      </c>
    </row>
    <row r="147" spans="1:4" x14ac:dyDescent="0.2">
      <c r="A147" t="s">
        <v>37</v>
      </c>
      <c r="B147" t="s">
        <v>41</v>
      </c>
      <c r="C147">
        <v>3</v>
      </c>
      <c r="D147">
        <v>0</v>
      </c>
    </row>
    <row r="148" spans="1:4" x14ac:dyDescent="0.2">
      <c r="A148" t="s">
        <v>38</v>
      </c>
      <c r="B148" t="s">
        <v>41</v>
      </c>
      <c r="C148">
        <v>3</v>
      </c>
      <c r="D148">
        <v>1</v>
      </c>
    </row>
    <row r="149" spans="1:4" x14ac:dyDescent="0.2">
      <c r="A149" t="s">
        <v>39</v>
      </c>
      <c r="B149" t="s">
        <v>41</v>
      </c>
      <c r="C149">
        <v>3</v>
      </c>
      <c r="D149">
        <v>0</v>
      </c>
    </row>
    <row r="150" spans="1:4" x14ac:dyDescent="0.2">
      <c r="A150" t="s">
        <v>84</v>
      </c>
      <c r="B150" t="s">
        <v>41</v>
      </c>
      <c r="C150">
        <v>3</v>
      </c>
      <c r="D150" s="12">
        <v>0.12291666666666667</v>
      </c>
    </row>
    <row r="151" spans="1:4" x14ac:dyDescent="0.2">
      <c r="A151" t="s">
        <v>85</v>
      </c>
      <c r="B151" t="s">
        <v>41</v>
      </c>
      <c r="C151">
        <v>3</v>
      </c>
      <c r="D151" s="12">
        <v>0.25347222222222221</v>
      </c>
    </row>
    <row r="152" spans="1:4" x14ac:dyDescent="0.2">
      <c r="A152" t="s">
        <v>32</v>
      </c>
      <c r="B152" t="s">
        <v>44</v>
      </c>
      <c r="C152">
        <v>3</v>
      </c>
      <c r="D152">
        <v>6</v>
      </c>
    </row>
    <row r="153" spans="1:4" x14ac:dyDescent="0.2">
      <c r="A153" t="s">
        <v>33</v>
      </c>
      <c r="B153" t="s">
        <v>44</v>
      </c>
      <c r="C153">
        <v>3</v>
      </c>
      <c r="D153">
        <v>4</v>
      </c>
    </row>
    <row r="154" spans="1:4" x14ac:dyDescent="0.2">
      <c r="A154" t="s">
        <v>34</v>
      </c>
      <c r="B154" t="s">
        <v>44</v>
      </c>
      <c r="C154">
        <v>3</v>
      </c>
      <c r="D154">
        <v>0</v>
      </c>
    </row>
    <row r="155" spans="1:4" x14ac:dyDescent="0.2">
      <c r="A155" t="s">
        <v>35</v>
      </c>
      <c r="B155" t="s">
        <v>44</v>
      </c>
      <c r="C155">
        <v>3</v>
      </c>
      <c r="D155">
        <v>1</v>
      </c>
    </row>
    <row r="156" spans="1:4" x14ac:dyDescent="0.2">
      <c r="A156" t="s">
        <v>36</v>
      </c>
      <c r="B156" t="s">
        <v>44</v>
      </c>
      <c r="C156">
        <v>3</v>
      </c>
      <c r="D156">
        <v>3</v>
      </c>
    </row>
    <row r="157" spans="1:4" x14ac:dyDescent="0.2">
      <c r="A157" t="s">
        <v>37</v>
      </c>
      <c r="B157" t="s">
        <v>44</v>
      </c>
      <c r="C157">
        <v>3</v>
      </c>
      <c r="D157">
        <v>0</v>
      </c>
    </row>
    <row r="158" spans="1:4" x14ac:dyDescent="0.2">
      <c r="A158" t="s">
        <v>38</v>
      </c>
      <c r="B158" t="s">
        <v>44</v>
      </c>
      <c r="C158">
        <v>3</v>
      </c>
      <c r="D158">
        <v>2</v>
      </c>
    </row>
    <row r="159" spans="1:4" x14ac:dyDescent="0.2">
      <c r="A159" t="s">
        <v>39</v>
      </c>
      <c r="B159" t="s">
        <v>44</v>
      </c>
      <c r="C159">
        <v>3</v>
      </c>
      <c r="D159">
        <v>0</v>
      </c>
    </row>
    <row r="160" spans="1:4" x14ac:dyDescent="0.2">
      <c r="A160" t="s">
        <v>84</v>
      </c>
      <c r="B160" t="s">
        <v>44</v>
      </c>
      <c r="C160">
        <v>3</v>
      </c>
      <c r="D160" s="12">
        <v>0.12291666666666667</v>
      </c>
    </row>
    <row r="161" spans="1:4" x14ac:dyDescent="0.2">
      <c r="A161" t="s">
        <v>85</v>
      </c>
      <c r="B161" t="s">
        <v>44</v>
      </c>
      <c r="C161">
        <v>3</v>
      </c>
      <c r="D161" s="12">
        <v>0.15555555555555556</v>
      </c>
    </row>
    <row r="162" spans="1:4" x14ac:dyDescent="0.2">
      <c r="A162" t="s">
        <v>32</v>
      </c>
      <c r="B162" t="s">
        <v>47</v>
      </c>
      <c r="C162">
        <v>3</v>
      </c>
      <c r="D162">
        <v>7</v>
      </c>
    </row>
    <row r="163" spans="1:4" x14ac:dyDescent="0.2">
      <c r="A163" t="s">
        <v>33</v>
      </c>
      <c r="B163" t="s">
        <v>47</v>
      </c>
      <c r="C163">
        <v>3</v>
      </c>
      <c r="D163">
        <v>7</v>
      </c>
    </row>
    <row r="164" spans="1:4" x14ac:dyDescent="0.2">
      <c r="A164" t="s">
        <v>34</v>
      </c>
      <c r="B164" t="s">
        <v>47</v>
      </c>
      <c r="C164">
        <v>3</v>
      </c>
      <c r="D164">
        <v>0</v>
      </c>
    </row>
    <row r="165" spans="1:4" x14ac:dyDescent="0.2">
      <c r="A165" t="s">
        <v>35</v>
      </c>
      <c r="B165" t="s">
        <v>47</v>
      </c>
      <c r="C165">
        <v>3</v>
      </c>
      <c r="D165">
        <v>2</v>
      </c>
    </row>
    <row r="166" spans="1:4" x14ac:dyDescent="0.2">
      <c r="A166" t="s">
        <v>36</v>
      </c>
      <c r="B166" t="s">
        <v>47</v>
      </c>
      <c r="C166">
        <v>3</v>
      </c>
      <c r="D166">
        <v>5</v>
      </c>
    </row>
    <row r="167" spans="1:4" x14ac:dyDescent="0.2">
      <c r="A167" t="s">
        <v>37</v>
      </c>
      <c r="B167" t="s">
        <v>47</v>
      </c>
      <c r="C167">
        <v>3</v>
      </c>
      <c r="D167">
        <v>0</v>
      </c>
    </row>
    <row r="168" spans="1:4" x14ac:dyDescent="0.2">
      <c r="A168" t="s">
        <v>38</v>
      </c>
      <c r="B168" t="s">
        <v>47</v>
      </c>
      <c r="C168">
        <v>3</v>
      </c>
      <c r="D168">
        <v>0</v>
      </c>
    </row>
    <row r="169" spans="1:4" x14ac:dyDescent="0.2">
      <c r="A169" t="s">
        <v>39</v>
      </c>
      <c r="B169" t="s">
        <v>47</v>
      </c>
      <c r="C169">
        <v>3</v>
      </c>
      <c r="D169">
        <v>0</v>
      </c>
    </row>
    <row r="170" spans="1:4" x14ac:dyDescent="0.2">
      <c r="A170" t="s">
        <v>84</v>
      </c>
      <c r="B170" t="s">
        <v>47</v>
      </c>
      <c r="C170">
        <v>3</v>
      </c>
      <c r="D170" s="12">
        <v>0.14375000000000002</v>
      </c>
    </row>
    <row r="171" spans="1:4" x14ac:dyDescent="0.2">
      <c r="A171" t="s">
        <v>85</v>
      </c>
      <c r="B171" t="s">
        <v>47</v>
      </c>
      <c r="C171">
        <v>3</v>
      </c>
      <c r="D171" s="12">
        <v>0.16458333333333333</v>
      </c>
    </row>
    <row r="172" spans="1:4" x14ac:dyDescent="0.2">
      <c r="A172" t="s">
        <v>32</v>
      </c>
      <c r="B172" t="s">
        <v>40</v>
      </c>
      <c r="C172">
        <v>3</v>
      </c>
      <c r="D172">
        <v>6</v>
      </c>
    </row>
    <row r="173" spans="1:4" x14ac:dyDescent="0.2">
      <c r="A173" t="s">
        <v>33</v>
      </c>
      <c r="B173" t="s">
        <v>40</v>
      </c>
      <c r="C173">
        <v>3</v>
      </c>
      <c r="D173">
        <v>4</v>
      </c>
    </row>
    <row r="174" spans="1:4" x14ac:dyDescent="0.2">
      <c r="A174" t="s">
        <v>34</v>
      </c>
      <c r="B174" t="s">
        <v>40</v>
      </c>
      <c r="C174">
        <v>3</v>
      </c>
      <c r="D174">
        <v>0</v>
      </c>
    </row>
    <row r="175" spans="1:4" x14ac:dyDescent="0.2">
      <c r="A175" t="s">
        <v>35</v>
      </c>
      <c r="B175" t="s">
        <v>40</v>
      </c>
      <c r="C175">
        <v>3</v>
      </c>
      <c r="D175">
        <v>1</v>
      </c>
    </row>
    <row r="176" spans="1:4" x14ac:dyDescent="0.2">
      <c r="A176" t="s">
        <v>36</v>
      </c>
      <c r="B176" t="s">
        <v>40</v>
      </c>
      <c r="C176">
        <v>3</v>
      </c>
      <c r="D176">
        <v>3</v>
      </c>
    </row>
    <row r="177" spans="1:4" x14ac:dyDescent="0.2">
      <c r="A177" t="s">
        <v>37</v>
      </c>
      <c r="B177" t="s">
        <v>40</v>
      </c>
      <c r="C177">
        <v>3</v>
      </c>
      <c r="D177">
        <v>0</v>
      </c>
    </row>
    <row r="178" spans="1:4" x14ac:dyDescent="0.2">
      <c r="A178" t="s">
        <v>38</v>
      </c>
      <c r="B178" t="s">
        <v>40</v>
      </c>
      <c r="C178">
        <v>3</v>
      </c>
      <c r="D178">
        <v>2</v>
      </c>
    </row>
    <row r="179" spans="1:4" x14ac:dyDescent="0.2">
      <c r="A179" t="s">
        <v>39</v>
      </c>
      <c r="B179" t="s">
        <v>40</v>
      </c>
      <c r="C179">
        <v>3</v>
      </c>
      <c r="D179">
        <v>0</v>
      </c>
    </row>
    <row r="180" spans="1:4" x14ac:dyDescent="0.2">
      <c r="A180" t="s">
        <v>84</v>
      </c>
      <c r="B180" t="s">
        <v>40</v>
      </c>
      <c r="C180">
        <v>3</v>
      </c>
      <c r="D180" s="12">
        <v>0.12291666666666667</v>
      </c>
    </row>
    <row r="181" spans="1:4" x14ac:dyDescent="0.2">
      <c r="A181" t="s">
        <v>85</v>
      </c>
      <c r="B181" t="s">
        <v>40</v>
      </c>
      <c r="C181">
        <v>3</v>
      </c>
      <c r="D181" s="12">
        <v>5.2083333333333336E-2</v>
      </c>
    </row>
    <row r="182" spans="1:4" x14ac:dyDescent="0.2">
      <c r="A182" t="s">
        <v>32</v>
      </c>
      <c r="B182" t="s">
        <v>50</v>
      </c>
      <c r="C182">
        <v>3</v>
      </c>
      <c r="D182">
        <v>6</v>
      </c>
    </row>
    <row r="183" spans="1:4" x14ac:dyDescent="0.2">
      <c r="A183" t="s">
        <v>33</v>
      </c>
      <c r="B183" t="s">
        <v>50</v>
      </c>
      <c r="C183">
        <v>3</v>
      </c>
      <c r="D183">
        <v>5</v>
      </c>
    </row>
    <row r="184" spans="1:4" x14ac:dyDescent="0.2">
      <c r="A184" t="s">
        <v>34</v>
      </c>
      <c r="B184" t="s">
        <v>50</v>
      </c>
      <c r="C184">
        <v>3</v>
      </c>
      <c r="D184">
        <v>0</v>
      </c>
    </row>
    <row r="185" spans="1:4" x14ac:dyDescent="0.2">
      <c r="A185" t="s">
        <v>35</v>
      </c>
      <c r="B185" t="s">
        <v>50</v>
      </c>
      <c r="C185">
        <v>3</v>
      </c>
      <c r="D185">
        <v>2</v>
      </c>
    </row>
    <row r="186" spans="1:4" x14ac:dyDescent="0.2">
      <c r="A186" t="s">
        <v>36</v>
      </c>
      <c r="B186" t="s">
        <v>50</v>
      </c>
      <c r="C186">
        <v>3</v>
      </c>
      <c r="D186">
        <v>3</v>
      </c>
    </row>
    <row r="187" spans="1:4" x14ac:dyDescent="0.2">
      <c r="A187" t="s">
        <v>37</v>
      </c>
      <c r="B187" t="s">
        <v>50</v>
      </c>
      <c r="C187">
        <v>3</v>
      </c>
      <c r="D187">
        <v>2</v>
      </c>
    </row>
    <row r="188" spans="1:4" x14ac:dyDescent="0.2">
      <c r="A188" t="s">
        <v>38</v>
      </c>
      <c r="B188" t="s">
        <v>50</v>
      </c>
      <c r="C188">
        <v>3</v>
      </c>
      <c r="D188">
        <v>1</v>
      </c>
    </row>
    <row r="189" spans="1:4" x14ac:dyDescent="0.2">
      <c r="A189" t="s">
        <v>39</v>
      </c>
      <c r="B189" t="s">
        <v>50</v>
      </c>
      <c r="C189">
        <v>3</v>
      </c>
      <c r="D189">
        <v>0</v>
      </c>
    </row>
    <row r="190" spans="1:4" x14ac:dyDescent="0.2">
      <c r="A190" t="s">
        <v>84</v>
      </c>
      <c r="B190" t="s">
        <v>50</v>
      </c>
      <c r="C190">
        <v>3</v>
      </c>
      <c r="D190" s="12">
        <v>0.12291666666666667</v>
      </c>
    </row>
    <row r="191" spans="1:4" x14ac:dyDescent="0.2">
      <c r="A191" t="s">
        <v>85</v>
      </c>
      <c r="B191" t="s">
        <v>50</v>
      </c>
      <c r="C191">
        <v>3</v>
      </c>
      <c r="D191" s="12">
        <v>4.8611111111111112E-2</v>
      </c>
    </row>
    <row r="192" spans="1:4" x14ac:dyDescent="0.2">
      <c r="A192" t="s">
        <v>32</v>
      </c>
      <c r="B192" t="s">
        <v>53</v>
      </c>
      <c r="C192">
        <v>3</v>
      </c>
      <c r="D192">
        <v>6</v>
      </c>
    </row>
    <row r="193" spans="1:4" x14ac:dyDescent="0.2">
      <c r="A193" t="s">
        <v>33</v>
      </c>
      <c r="B193" t="s">
        <v>53</v>
      </c>
      <c r="C193">
        <v>3</v>
      </c>
      <c r="D193">
        <v>5</v>
      </c>
    </row>
    <row r="194" spans="1:4" x14ac:dyDescent="0.2">
      <c r="A194" t="s">
        <v>34</v>
      </c>
      <c r="B194" t="s">
        <v>53</v>
      </c>
      <c r="C194">
        <v>3</v>
      </c>
      <c r="D194">
        <v>0</v>
      </c>
    </row>
    <row r="195" spans="1:4" x14ac:dyDescent="0.2">
      <c r="A195" t="s">
        <v>35</v>
      </c>
      <c r="B195" t="s">
        <v>53</v>
      </c>
      <c r="C195">
        <v>3</v>
      </c>
      <c r="D195">
        <v>3</v>
      </c>
    </row>
    <row r="196" spans="1:4" x14ac:dyDescent="0.2">
      <c r="A196" t="s">
        <v>36</v>
      </c>
      <c r="B196" t="s">
        <v>53</v>
      </c>
      <c r="C196">
        <v>3</v>
      </c>
      <c r="D196">
        <v>2</v>
      </c>
    </row>
    <row r="197" spans="1:4" x14ac:dyDescent="0.2">
      <c r="A197" t="s">
        <v>37</v>
      </c>
      <c r="B197" t="s">
        <v>53</v>
      </c>
      <c r="C197">
        <v>3</v>
      </c>
      <c r="D197">
        <v>0</v>
      </c>
    </row>
    <row r="198" spans="1:4" x14ac:dyDescent="0.2">
      <c r="A198" t="s">
        <v>38</v>
      </c>
      <c r="B198" t="s">
        <v>53</v>
      </c>
      <c r="C198">
        <v>3</v>
      </c>
      <c r="D198">
        <v>1</v>
      </c>
    </row>
    <row r="199" spans="1:4" x14ac:dyDescent="0.2">
      <c r="A199" t="s">
        <v>39</v>
      </c>
      <c r="B199" t="s">
        <v>53</v>
      </c>
      <c r="C199">
        <v>3</v>
      </c>
      <c r="D199">
        <v>0</v>
      </c>
    </row>
    <row r="200" spans="1:4" x14ac:dyDescent="0.2">
      <c r="A200" t="s">
        <v>84</v>
      </c>
      <c r="B200" t="s">
        <v>53</v>
      </c>
      <c r="C200">
        <v>3</v>
      </c>
      <c r="D200" s="12">
        <v>0.12291666666666667</v>
      </c>
    </row>
    <row r="201" spans="1:4" x14ac:dyDescent="0.2">
      <c r="A201" t="s">
        <v>85</v>
      </c>
      <c r="B201" t="s">
        <v>53</v>
      </c>
      <c r="C201">
        <v>3</v>
      </c>
      <c r="D201" s="12">
        <v>0.30069444444444443</v>
      </c>
    </row>
    <row r="202" spans="1:4" x14ac:dyDescent="0.2">
      <c r="A202" t="s">
        <v>32</v>
      </c>
      <c r="B202" t="s">
        <v>83</v>
      </c>
      <c r="C202">
        <v>3</v>
      </c>
      <c r="D202">
        <v>2</v>
      </c>
    </row>
    <row r="203" spans="1:4" x14ac:dyDescent="0.2">
      <c r="A203" t="s">
        <v>33</v>
      </c>
      <c r="B203" t="s">
        <v>83</v>
      </c>
      <c r="C203">
        <v>3</v>
      </c>
      <c r="D203">
        <v>2</v>
      </c>
    </row>
    <row r="204" spans="1:4" x14ac:dyDescent="0.2">
      <c r="A204" t="s">
        <v>34</v>
      </c>
      <c r="B204" t="s">
        <v>83</v>
      </c>
      <c r="C204">
        <v>3</v>
      </c>
      <c r="D204">
        <v>0</v>
      </c>
    </row>
    <row r="205" spans="1:4" x14ac:dyDescent="0.2">
      <c r="A205" t="s">
        <v>35</v>
      </c>
      <c r="B205" t="s">
        <v>83</v>
      </c>
      <c r="C205">
        <v>3</v>
      </c>
      <c r="D205">
        <v>0</v>
      </c>
    </row>
    <row r="206" spans="1:4" x14ac:dyDescent="0.2">
      <c r="A206" t="s">
        <v>36</v>
      </c>
      <c r="B206" t="s">
        <v>83</v>
      </c>
      <c r="C206">
        <v>3</v>
      </c>
      <c r="D206">
        <v>2</v>
      </c>
    </row>
    <row r="207" spans="1:4" x14ac:dyDescent="0.2">
      <c r="A207" t="s">
        <v>37</v>
      </c>
      <c r="B207" t="s">
        <v>83</v>
      </c>
      <c r="C207">
        <v>3</v>
      </c>
      <c r="D207">
        <v>0</v>
      </c>
    </row>
    <row r="208" spans="1:4" x14ac:dyDescent="0.2">
      <c r="A208" t="s">
        <v>38</v>
      </c>
      <c r="B208" t="s">
        <v>83</v>
      </c>
      <c r="C208">
        <v>3</v>
      </c>
      <c r="D208">
        <v>0</v>
      </c>
    </row>
    <row r="209" spans="1:4" x14ac:dyDescent="0.2">
      <c r="A209" t="s">
        <v>39</v>
      </c>
      <c r="B209" t="s">
        <v>83</v>
      </c>
      <c r="C209">
        <v>3</v>
      </c>
      <c r="D209">
        <v>0</v>
      </c>
    </row>
    <row r="210" spans="1:4" x14ac:dyDescent="0.2">
      <c r="A210" t="s">
        <v>84</v>
      </c>
      <c r="B210" t="s">
        <v>83</v>
      </c>
      <c r="C210">
        <v>3</v>
      </c>
      <c r="D210" s="12">
        <v>4.8611111111111112E-3</v>
      </c>
    </row>
    <row r="211" spans="1:4" x14ac:dyDescent="0.2">
      <c r="A211" t="s">
        <v>85</v>
      </c>
      <c r="B211" t="s">
        <v>83</v>
      </c>
      <c r="C211">
        <v>3</v>
      </c>
      <c r="D211" s="12">
        <v>1.0416666666666666E-2</v>
      </c>
    </row>
    <row r="212" spans="1:4" x14ac:dyDescent="0.2">
      <c r="A212" t="s">
        <v>32</v>
      </c>
      <c r="B212" t="s">
        <v>41</v>
      </c>
      <c r="C212">
        <v>4</v>
      </c>
      <c r="D212">
        <v>7</v>
      </c>
    </row>
    <row r="213" spans="1:4" x14ac:dyDescent="0.2">
      <c r="A213" t="s">
        <v>33</v>
      </c>
      <c r="B213" t="s">
        <v>41</v>
      </c>
      <c r="C213">
        <v>4</v>
      </c>
      <c r="D213">
        <v>7</v>
      </c>
    </row>
    <row r="214" spans="1:4" x14ac:dyDescent="0.2">
      <c r="A214" t="s">
        <v>34</v>
      </c>
      <c r="B214" t="s">
        <v>41</v>
      </c>
      <c r="C214">
        <v>4</v>
      </c>
      <c r="D214">
        <v>0</v>
      </c>
    </row>
    <row r="215" spans="1:4" x14ac:dyDescent="0.2">
      <c r="A215" t="s">
        <v>35</v>
      </c>
      <c r="B215" t="s">
        <v>41</v>
      </c>
      <c r="C215">
        <v>4</v>
      </c>
      <c r="D215">
        <v>5</v>
      </c>
    </row>
    <row r="216" spans="1:4" x14ac:dyDescent="0.2">
      <c r="A216" t="s">
        <v>36</v>
      </c>
      <c r="B216" t="s">
        <v>41</v>
      </c>
      <c r="C216">
        <v>4</v>
      </c>
      <c r="D216">
        <v>2</v>
      </c>
    </row>
    <row r="217" spans="1:4" x14ac:dyDescent="0.2">
      <c r="A217" t="s">
        <v>37</v>
      </c>
      <c r="B217" t="s">
        <v>41</v>
      </c>
      <c r="C217">
        <v>4</v>
      </c>
      <c r="D217">
        <v>2</v>
      </c>
    </row>
    <row r="218" spans="1:4" x14ac:dyDescent="0.2">
      <c r="A218" t="s">
        <v>38</v>
      </c>
      <c r="B218" t="s">
        <v>41</v>
      </c>
      <c r="C218">
        <v>4</v>
      </c>
      <c r="D218">
        <v>0</v>
      </c>
    </row>
    <row r="219" spans="1:4" x14ac:dyDescent="0.2">
      <c r="A219" t="s">
        <v>39</v>
      </c>
      <c r="B219" t="s">
        <v>41</v>
      </c>
      <c r="C219">
        <v>4</v>
      </c>
      <c r="D219">
        <v>0</v>
      </c>
    </row>
    <row r="220" spans="1:4" x14ac:dyDescent="0.2">
      <c r="A220" t="s">
        <v>84</v>
      </c>
      <c r="B220" t="s">
        <v>41</v>
      </c>
      <c r="C220">
        <v>4</v>
      </c>
      <c r="D220" s="12">
        <v>0.25763888888888892</v>
      </c>
    </row>
    <row r="221" spans="1:4" x14ac:dyDescent="0.2">
      <c r="A221" t="s">
        <v>85</v>
      </c>
      <c r="B221" t="s">
        <v>41</v>
      </c>
      <c r="C221">
        <v>4</v>
      </c>
      <c r="D221" s="12">
        <v>0.29375000000000001</v>
      </c>
    </row>
    <row r="222" spans="1:4" x14ac:dyDescent="0.2">
      <c r="A222" t="s">
        <v>32</v>
      </c>
      <c r="B222" t="s">
        <v>44</v>
      </c>
      <c r="C222">
        <v>4</v>
      </c>
      <c r="D222">
        <v>7</v>
      </c>
    </row>
    <row r="223" spans="1:4" x14ac:dyDescent="0.2">
      <c r="A223" t="s">
        <v>33</v>
      </c>
      <c r="B223" t="s">
        <v>44</v>
      </c>
      <c r="C223">
        <v>4</v>
      </c>
      <c r="D223">
        <v>6</v>
      </c>
    </row>
    <row r="224" spans="1:4" x14ac:dyDescent="0.2">
      <c r="A224" t="s">
        <v>34</v>
      </c>
      <c r="B224" t="s">
        <v>44</v>
      </c>
      <c r="C224">
        <v>4</v>
      </c>
      <c r="D224">
        <v>0</v>
      </c>
    </row>
    <row r="225" spans="1:4" x14ac:dyDescent="0.2">
      <c r="A225" t="s">
        <v>35</v>
      </c>
      <c r="B225" t="s">
        <v>44</v>
      </c>
      <c r="C225">
        <v>4</v>
      </c>
      <c r="D225">
        <v>5</v>
      </c>
    </row>
    <row r="226" spans="1:4" x14ac:dyDescent="0.2">
      <c r="A226" t="s">
        <v>36</v>
      </c>
      <c r="B226" t="s">
        <v>44</v>
      </c>
      <c r="C226">
        <v>4</v>
      </c>
      <c r="D226">
        <v>1</v>
      </c>
    </row>
    <row r="227" spans="1:4" x14ac:dyDescent="0.2">
      <c r="A227" t="s">
        <v>37</v>
      </c>
      <c r="B227" t="s">
        <v>44</v>
      </c>
      <c r="C227">
        <v>4</v>
      </c>
      <c r="D227">
        <v>1</v>
      </c>
    </row>
    <row r="228" spans="1:4" x14ac:dyDescent="0.2">
      <c r="A228" t="s">
        <v>38</v>
      </c>
      <c r="B228" t="s">
        <v>44</v>
      </c>
      <c r="C228">
        <v>4</v>
      </c>
      <c r="D228">
        <v>1</v>
      </c>
    </row>
    <row r="229" spans="1:4" x14ac:dyDescent="0.2">
      <c r="A229" t="s">
        <v>39</v>
      </c>
      <c r="B229" t="s">
        <v>44</v>
      </c>
      <c r="C229">
        <v>4</v>
      </c>
      <c r="D229">
        <v>0</v>
      </c>
    </row>
    <row r="230" spans="1:4" x14ac:dyDescent="0.2">
      <c r="A230" t="s">
        <v>84</v>
      </c>
      <c r="B230" t="s">
        <v>44</v>
      </c>
      <c r="C230">
        <v>4</v>
      </c>
      <c r="D230" s="12">
        <v>0.25763888888888892</v>
      </c>
    </row>
    <row r="231" spans="1:4" x14ac:dyDescent="0.2">
      <c r="A231" t="s">
        <v>85</v>
      </c>
      <c r="B231" t="s">
        <v>44</v>
      </c>
      <c r="C231">
        <v>4</v>
      </c>
      <c r="D231" s="12">
        <v>0.15625</v>
      </c>
    </row>
    <row r="232" spans="1:4" x14ac:dyDescent="0.2">
      <c r="A232" t="s">
        <v>32</v>
      </c>
      <c r="B232" t="s">
        <v>47</v>
      </c>
      <c r="C232">
        <v>4</v>
      </c>
      <c r="D232">
        <v>9</v>
      </c>
    </row>
    <row r="233" spans="1:4" x14ac:dyDescent="0.2">
      <c r="A233" t="s">
        <v>33</v>
      </c>
      <c r="B233" t="s">
        <v>47</v>
      </c>
      <c r="C233">
        <v>4</v>
      </c>
      <c r="D233">
        <v>9</v>
      </c>
    </row>
    <row r="234" spans="1:4" x14ac:dyDescent="0.2">
      <c r="A234" t="s">
        <v>34</v>
      </c>
      <c r="B234" t="s">
        <v>47</v>
      </c>
      <c r="C234">
        <v>4</v>
      </c>
      <c r="D234">
        <v>0</v>
      </c>
    </row>
    <row r="235" spans="1:4" x14ac:dyDescent="0.2">
      <c r="A235" t="s">
        <v>35</v>
      </c>
      <c r="B235" t="s">
        <v>47</v>
      </c>
      <c r="C235">
        <v>4</v>
      </c>
      <c r="D235">
        <v>6</v>
      </c>
    </row>
    <row r="236" spans="1:4" x14ac:dyDescent="0.2">
      <c r="A236" t="s">
        <v>36</v>
      </c>
      <c r="B236" t="s">
        <v>47</v>
      </c>
      <c r="C236">
        <v>4</v>
      </c>
      <c r="D236">
        <v>3</v>
      </c>
    </row>
    <row r="237" spans="1:4" x14ac:dyDescent="0.2">
      <c r="A237" t="s">
        <v>37</v>
      </c>
      <c r="B237" t="s">
        <v>47</v>
      </c>
      <c r="C237">
        <v>4</v>
      </c>
      <c r="D237">
        <v>1</v>
      </c>
    </row>
    <row r="238" spans="1:4" x14ac:dyDescent="0.2">
      <c r="A238" t="s">
        <v>38</v>
      </c>
      <c r="B238" t="s">
        <v>47</v>
      </c>
      <c r="C238">
        <v>4</v>
      </c>
      <c r="D238">
        <v>0</v>
      </c>
    </row>
    <row r="239" spans="1:4" x14ac:dyDescent="0.2">
      <c r="A239" t="s">
        <v>39</v>
      </c>
      <c r="B239" t="s">
        <v>47</v>
      </c>
      <c r="C239">
        <v>4</v>
      </c>
      <c r="D239">
        <v>0</v>
      </c>
    </row>
    <row r="240" spans="1:4" x14ac:dyDescent="0.2">
      <c r="A240" t="s">
        <v>84</v>
      </c>
      <c r="B240" t="s">
        <v>47</v>
      </c>
      <c r="C240">
        <v>4</v>
      </c>
      <c r="D240" s="12">
        <v>0.27847222222222223</v>
      </c>
    </row>
    <row r="241" spans="1:4" x14ac:dyDescent="0.2">
      <c r="A241" t="s">
        <v>85</v>
      </c>
      <c r="B241" t="s">
        <v>47</v>
      </c>
      <c r="C241">
        <v>4</v>
      </c>
      <c r="D241" s="12">
        <v>0.22569444444444445</v>
      </c>
    </row>
    <row r="242" spans="1:4" x14ac:dyDescent="0.2">
      <c r="A242" t="s">
        <v>32</v>
      </c>
      <c r="B242" t="s">
        <v>40</v>
      </c>
      <c r="C242">
        <v>4</v>
      </c>
      <c r="D242">
        <v>7</v>
      </c>
    </row>
    <row r="243" spans="1:4" x14ac:dyDescent="0.2">
      <c r="A243" t="s">
        <v>33</v>
      </c>
      <c r="B243" t="s">
        <v>40</v>
      </c>
      <c r="C243">
        <v>4</v>
      </c>
      <c r="D243">
        <v>7</v>
      </c>
    </row>
    <row r="244" spans="1:4" x14ac:dyDescent="0.2">
      <c r="A244" t="s">
        <v>34</v>
      </c>
      <c r="B244" t="s">
        <v>40</v>
      </c>
      <c r="C244">
        <v>4</v>
      </c>
      <c r="D244">
        <v>0</v>
      </c>
    </row>
    <row r="245" spans="1:4" x14ac:dyDescent="0.2">
      <c r="A245" t="s">
        <v>35</v>
      </c>
      <c r="B245" t="s">
        <v>40</v>
      </c>
      <c r="C245">
        <v>4</v>
      </c>
      <c r="D245">
        <v>6</v>
      </c>
    </row>
    <row r="246" spans="1:4" x14ac:dyDescent="0.2">
      <c r="A246" t="s">
        <v>36</v>
      </c>
      <c r="B246" t="s">
        <v>40</v>
      </c>
      <c r="C246">
        <v>4</v>
      </c>
      <c r="D246">
        <v>1</v>
      </c>
    </row>
    <row r="247" spans="1:4" x14ac:dyDescent="0.2">
      <c r="A247" t="s">
        <v>37</v>
      </c>
      <c r="B247" t="s">
        <v>40</v>
      </c>
      <c r="C247">
        <v>4</v>
      </c>
      <c r="D247">
        <v>3</v>
      </c>
    </row>
    <row r="248" spans="1:4" x14ac:dyDescent="0.2">
      <c r="A248" t="s">
        <v>38</v>
      </c>
      <c r="B248" t="s">
        <v>40</v>
      </c>
      <c r="C248">
        <v>4</v>
      </c>
      <c r="D248">
        <v>0</v>
      </c>
    </row>
    <row r="249" spans="1:4" x14ac:dyDescent="0.2">
      <c r="A249" t="s">
        <v>39</v>
      </c>
      <c r="B249" t="s">
        <v>40</v>
      </c>
      <c r="C249">
        <v>4</v>
      </c>
      <c r="D249">
        <v>0</v>
      </c>
    </row>
    <row r="250" spans="1:4" x14ac:dyDescent="0.2">
      <c r="A250" t="s">
        <v>84</v>
      </c>
      <c r="B250" t="s">
        <v>40</v>
      </c>
      <c r="C250">
        <v>4</v>
      </c>
      <c r="D250" s="12">
        <v>0.25763888888888892</v>
      </c>
    </row>
    <row r="251" spans="1:4" x14ac:dyDescent="0.2">
      <c r="A251" t="s">
        <v>85</v>
      </c>
      <c r="B251" t="s">
        <v>40</v>
      </c>
      <c r="C251">
        <v>4</v>
      </c>
      <c r="D251" s="12">
        <v>0.1173611111111111</v>
      </c>
    </row>
    <row r="252" spans="1:4" x14ac:dyDescent="0.2">
      <c r="A252" t="s">
        <v>32</v>
      </c>
      <c r="B252" t="s">
        <v>50</v>
      </c>
      <c r="C252">
        <v>4</v>
      </c>
      <c r="D252">
        <v>7</v>
      </c>
    </row>
    <row r="253" spans="1:4" x14ac:dyDescent="0.2">
      <c r="A253" t="s">
        <v>33</v>
      </c>
      <c r="B253" t="s">
        <v>50</v>
      </c>
      <c r="C253">
        <v>4</v>
      </c>
      <c r="D253">
        <v>4</v>
      </c>
    </row>
    <row r="254" spans="1:4" x14ac:dyDescent="0.2">
      <c r="A254" t="s">
        <v>34</v>
      </c>
      <c r="B254" t="s">
        <v>50</v>
      </c>
      <c r="C254">
        <v>4</v>
      </c>
      <c r="D254">
        <v>0</v>
      </c>
    </row>
    <row r="255" spans="1:4" x14ac:dyDescent="0.2">
      <c r="A255" t="s">
        <v>35</v>
      </c>
      <c r="B255" t="s">
        <v>50</v>
      </c>
      <c r="C255">
        <v>4</v>
      </c>
      <c r="D255">
        <v>2</v>
      </c>
    </row>
    <row r="256" spans="1:4" x14ac:dyDescent="0.2">
      <c r="A256" t="s">
        <v>36</v>
      </c>
      <c r="B256" t="s">
        <v>50</v>
      </c>
      <c r="C256">
        <v>4</v>
      </c>
      <c r="D256">
        <v>2</v>
      </c>
    </row>
    <row r="257" spans="1:4" x14ac:dyDescent="0.2">
      <c r="A257" t="s">
        <v>37</v>
      </c>
      <c r="B257" t="s">
        <v>50</v>
      </c>
      <c r="C257">
        <v>4</v>
      </c>
      <c r="D257">
        <v>1</v>
      </c>
    </row>
    <row r="258" spans="1:4" x14ac:dyDescent="0.2">
      <c r="A258" t="s">
        <v>38</v>
      </c>
      <c r="B258" t="s">
        <v>50</v>
      </c>
      <c r="C258">
        <v>4</v>
      </c>
      <c r="D258">
        <v>3</v>
      </c>
    </row>
    <row r="259" spans="1:4" x14ac:dyDescent="0.2">
      <c r="A259" t="s">
        <v>39</v>
      </c>
      <c r="B259" t="s">
        <v>50</v>
      </c>
      <c r="C259">
        <v>4</v>
      </c>
      <c r="D259">
        <v>0</v>
      </c>
    </row>
    <row r="260" spans="1:4" x14ac:dyDescent="0.2">
      <c r="A260" t="s">
        <v>84</v>
      </c>
      <c r="B260" t="s">
        <v>50</v>
      </c>
      <c r="C260">
        <v>4</v>
      </c>
      <c r="D260" s="12">
        <v>0.25763888888888892</v>
      </c>
    </row>
    <row r="261" spans="1:4" x14ac:dyDescent="0.2">
      <c r="A261" t="s">
        <v>85</v>
      </c>
      <c r="B261" t="s">
        <v>50</v>
      </c>
      <c r="C261">
        <v>4</v>
      </c>
      <c r="D261" s="12">
        <v>0.3430555555555555</v>
      </c>
    </row>
    <row r="262" spans="1:4" x14ac:dyDescent="0.2">
      <c r="A262" t="s">
        <v>32</v>
      </c>
      <c r="B262" t="s">
        <v>53</v>
      </c>
      <c r="C262">
        <v>4</v>
      </c>
      <c r="D262">
        <v>7</v>
      </c>
    </row>
    <row r="263" spans="1:4" x14ac:dyDescent="0.2">
      <c r="A263" t="s">
        <v>33</v>
      </c>
      <c r="B263" t="s">
        <v>53</v>
      </c>
      <c r="C263">
        <v>4</v>
      </c>
      <c r="D263">
        <v>6</v>
      </c>
    </row>
    <row r="264" spans="1:4" x14ac:dyDescent="0.2">
      <c r="A264" t="s">
        <v>34</v>
      </c>
      <c r="B264" t="s">
        <v>53</v>
      </c>
      <c r="C264">
        <v>4</v>
      </c>
      <c r="D264">
        <v>0</v>
      </c>
    </row>
    <row r="265" spans="1:4" x14ac:dyDescent="0.2">
      <c r="A265" t="s">
        <v>35</v>
      </c>
      <c r="B265" t="s">
        <v>53</v>
      </c>
      <c r="C265">
        <v>4</v>
      </c>
      <c r="D265">
        <v>5</v>
      </c>
    </row>
    <row r="266" spans="1:4" x14ac:dyDescent="0.2">
      <c r="A266" t="s">
        <v>36</v>
      </c>
      <c r="B266" t="s">
        <v>53</v>
      </c>
      <c r="C266">
        <v>4</v>
      </c>
      <c r="D266">
        <v>1</v>
      </c>
    </row>
    <row r="267" spans="1:4" x14ac:dyDescent="0.2">
      <c r="A267" t="s">
        <v>37</v>
      </c>
      <c r="B267" t="s">
        <v>53</v>
      </c>
      <c r="C267">
        <v>4</v>
      </c>
      <c r="D267">
        <v>1</v>
      </c>
    </row>
    <row r="268" spans="1:4" x14ac:dyDescent="0.2">
      <c r="A268" t="s">
        <v>38</v>
      </c>
      <c r="B268" t="s">
        <v>53</v>
      </c>
      <c r="C268">
        <v>4</v>
      </c>
      <c r="D268">
        <v>1</v>
      </c>
    </row>
    <row r="269" spans="1:4" x14ac:dyDescent="0.2">
      <c r="A269" t="s">
        <v>39</v>
      </c>
      <c r="B269" t="s">
        <v>53</v>
      </c>
      <c r="C269">
        <v>4</v>
      </c>
      <c r="D269">
        <v>0</v>
      </c>
    </row>
    <row r="270" spans="1:4" x14ac:dyDescent="0.2">
      <c r="A270" t="s">
        <v>84</v>
      </c>
      <c r="B270" t="s">
        <v>53</v>
      </c>
      <c r="C270">
        <v>4</v>
      </c>
      <c r="D270" s="12">
        <v>0.25763888888888892</v>
      </c>
    </row>
    <row r="271" spans="1:4" x14ac:dyDescent="0.2">
      <c r="A271" t="s">
        <v>85</v>
      </c>
      <c r="B271" t="s">
        <v>53</v>
      </c>
      <c r="C271">
        <v>4</v>
      </c>
      <c r="D271" s="12">
        <v>0.9243055555555556</v>
      </c>
    </row>
    <row r="272" spans="1:4" x14ac:dyDescent="0.2">
      <c r="A272" t="s">
        <v>32</v>
      </c>
      <c r="B272" t="s">
        <v>83</v>
      </c>
      <c r="C272">
        <v>4</v>
      </c>
      <c r="D272">
        <v>4</v>
      </c>
    </row>
    <row r="273" spans="1:4" x14ac:dyDescent="0.2">
      <c r="A273" t="s">
        <v>33</v>
      </c>
      <c r="B273" t="s">
        <v>83</v>
      </c>
      <c r="C273">
        <v>4</v>
      </c>
      <c r="D273">
        <v>4</v>
      </c>
    </row>
    <row r="274" spans="1:4" x14ac:dyDescent="0.2">
      <c r="A274" t="s">
        <v>34</v>
      </c>
      <c r="B274" t="s">
        <v>83</v>
      </c>
      <c r="C274">
        <v>4</v>
      </c>
      <c r="D274">
        <v>2</v>
      </c>
    </row>
    <row r="275" spans="1:4" x14ac:dyDescent="0.2">
      <c r="A275" t="s">
        <v>35</v>
      </c>
      <c r="B275" t="s">
        <v>83</v>
      </c>
      <c r="C275">
        <v>4</v>
      </c>
      <c r="D275">
        <v>3</v>
      </c>
    </row>
    <row r="276" spans="1:4" x14ac:dyDescent="0.2">
      <c r="A276" t="s">
        <v>36</v>
      </c>
      <c r="B276" t="s">
        <v>83</v>
      </c>
      <c r="C276">
        <v>4</v>
      </c>
      <c r="D276">
        <v>1</v>
      </c>
    </row>
    <row r="277" spans="1:4" x14ac:dyDescent="0.2">
      <c r="A277" t="s">
        <v>37</v>
      </c>
      <c r="B277" t="s">
        <v>83</v>
      </c>
      <c r="C277">
        <v>4</v>
      </c>
      <c r="D277">
        <v>3</v>
      </c>
    </row>
    <row r="278" spans="1:4" x14ac:dyDescent="0.2">
      <c r="A278" t="s">
        <v>38</v>
      </c>
      <c r="B278" t="s">
        <v>83</v>
      </c>
      <c r="C278">
        <v>4</v>
      </c>
      <c r="D278">
        <v>0</v>
      </c>
    </row>
    <row r="279" spans="1:4" x14ac:dyDescent="0.2">
      <c r="A279" t="s">
        <v>39</v>
      </c>
      <c r="B279" t="s">
        <v>83</v>
      </c>
      <c r="C279">
        <v>4</v>
      </c>
      <c r="D279">
        <v>0</v>
      </c>
    </row>
    <row r="280" spans="1:4" x14ac:dyDescent="0.2">
      <c r="A280" t="s">
        <v>84</v>
      </c>
      <c r="B280" t="s">
        <v>83</v>
      </c>
      <c r="C280">
        <v>4</v>
      </c>
      <c r="D280" s="12">
        <v>4.9305555555555554E-2</v>
      </c>
    </row>
    <row r="281" spans="1:4" x14ac:dyDescent="0.2">
      <c r="A281" t="s">
        <v>85</v>
      </c>
      <c r="B281" t="s">
        <v>83</v>
      </c>
      <c r="C281">
        <v>4</v>
      </c>
      <c r="D281" s="12">
        <v>1.3194444444444444E-2</v>
      </c>
    </row>
    <row r="282" spans="1:4" x14ac:dyDescent="0.2">
      <c r="A282" t="s">
        <v>32</v>
      </c>
      <c r="B282" t="s">
        <v>41</v>
      </c>
      <c r="C282">
        <v>5</v>
      </c>
      <c r="D282">
        <v>7</v>
      </c>
    </row>
    <row r="283" spans="1:4" x14ac:dyDescent="0.2">
      <c r="A283" t="s">
        <v>33</v>
      </c>
      <c r="B283" t="s">
        <v>41</v>
      </c>
      <c r="C283">
        <v>5</v>
      </c>
      <c r="D283">
        <v>7</v>
      </c>
    </row>
    <row r="284" spans="1:4" x14ac:dyDescent="0.2">
      <c r="A284" t="s">
        <v>34</v>
      </c>
      <c r="B284" t="s">
        <v>41</v>
      </c>
      <c r="C284">
        <v>5</v>
      </c>
      <c r="D284">
        <v>0</v>
      </c>
    </row>
    <row r="285" spans="1:4" x14ac:dyDescent="0.2">
      <c r="A285" t="s">
        <v>35</v>
      </c>
      <c r="B285" t="s">
        <v>41</v>
      </c>
      <c r="C285">
        <v>5</v>
      </c>
      <c r="D285">
        <v>6</v>
      </c>
    </row>
    <row r="286" spans="1:4" x14ac:dyDescent="0.2">
      <c r="A286" t="s">
        <v>36</v>
      </c>
      <c r="B286" t="s">
        <v>41</v>
      </c>
      <c r="C286">
        <v>5</v>
      </c>
      <c r="D286">
        <v>1</v>
      </c>
    </row>
    <row r="287" spans="1:4" x14ac:dyDescent="0.2">
      <c r="A287" t="s">
        <v>37</v>
      </c>
      <c r="B287" t="s">
        <v>41</v>
      </c>
      <c r="C287">
        <v>5</v>
      </c>
      <c r="D287">
        <v>1</v>
      </c>
    </row>
    <row r="288" spans="1:4" x14ac:dyDescent="0.2">
      <c r="A288" t="s">
        <v>38</v>
      </c>
      <c r="B288" t="s">
        <v>41</v>
      </c>
      <c r="C288">
        <v>5</v>
      </c>
      <c r="D288">
        <v>0</v>
      </c>
    </row>
    <row r="289" spans="1:4" x14ac:dyDescent="0.2">
      <c r="A289" t="s">
        <v>39</v>
      </c>
      <c r="B289" t="s">
        <v>41</v>
      </c>
      <c r="C289">
        <v>5</v>
      </c>
      <c r="D289">
        <v>0</v>
      </c>
    </row>
    <row r="290" spans="1:4" x14ac:dyDescent="0.2">
      <c r="A290" t="s">
        <v>84</v>
      </c>
      <c r="B290" t="s">
        <v>41</v>
      </c>
      <c r="C290">
        <v>5</v>
      </c>
      <c r="D290" s="12">
        <v>0.1763888888888889</v>
      </c>
    </row>
    <row r="291" spans="1:4" x14ac:dyDescent="0.2">
      <c r="A291" t="s">
        <v>85</v>
      </c>
      <c r="B291" t="s">
        <v>41</v>
      </c>
      <c r="C291">
        <v>5</v>
      </c>
      <c r="D291" s="12">
        <v>0.37916666666666665</v>
      </c>
    </row>
    <row r="292" spans="1:4" x14ac:dyDescent="0.2">
      <c r="A292" t="s">
        <v>32</v>
      </c>
      <c r="B292" t="s">
        <v>44</v>
      </c>
      <c r="C292">
        <v>5</v>
      </c>
      <c r="D292">
        <v>7</v>
      </c>
    </row>
    <row r="293" spans="1:4" x14ac:dyDescent="0.2">
      <c r="A293" t="s">
        <v>33</v>
      </c>
      <c r="B293" t="s">
        <v>44</v>
      </c>
      <c r="C293">
        <v>5</v>
      </c>
      <c r="D293">
        <v>5</v>
      </c>
    </row>
    <row r="294" spans="1:4" x14ac:dyDescent="0.2">
      <c r="A294" t="s">
        <v>34</v>
      </c>
      <c r="B294" t="s">
        <v>44</v>
      </c>
      <c r="C294">
        <v>5</v>
      </c>
      <c r="D294">
        <v>0</v>
      </c>
    </row>
    <row r="295" spans="1:4" x14ac:dyDescent="0.2">
      <c r="A295" t="s">
        <v>35</v>
      </c>
      <c r="B295" t="s">
        <v>44</v>
      </c>
      <c r="C295">
        <v>5</v>
      </c>
      <c r="D295">
        <v>4</v>
      </c>
    </row>
    <row r="296" spans="1:4" x14ac:dyDescent="0.2">
      <c r="A296" t="s">
        <v>36</v>
      </c>
      <c r="B296" t="s">
        <v>44</v>
      </c>
      <c r="C296">
        <v>5</v>
      </c>
      <c r="D296">
        <v>1</v>
      </c>
    </row>
    <row r="297" spans="1:4" x14ac:dyDescent="0.2">
      <c r="A297" t="s">
        <v>37</v>
      </c>
      <c r="B297" t="s">
        <v>44</v>
      </c>
      <c r="C297">
        <v>5</v>
      </c>
      <c r="D297">
        <v>1</v>
      </c>
    </row>
    <row r="298" spans="1:4" x14ac:dyDescent="0.2">
      <c r="A298" t="s">
        <v>38</v>
      </c>
      <c r="B298" t="s">
        <v>44</v>
      </c>
      <c r="C298">
        <v>5</v>
      </c>
      <c r="D298">
        <v>2</v>
      </c>
    </row>
    <row r="299" spans="1:4" x14ac:dyDescent="0.2">
      <c r="A299" t="s">
        <v>39</v>
      </c>
      <c r="B299" t="s">
        <v>44</v>
      </c>
      <c r="C299">
        <v>5</v>
      </c>
      <c r="D299">
        <v>0</v>
      </c>
    </row>
    <row r="300" spans="1:4" x14ac:dyDescent="0.2">
      <c r="A300" t="s">
        <v>84</v>
      </c>
      <c r="B300" t="s">
        <v>44</v>
      </c>
      <c r="C300">
        <v>5</v>
      </c>
      <c r="D300" s="12">
        <v>0.1763888888888889</v>
      </c>
    </row>
    <row r="301" spans="1:4" x14ac:dyDescent="0.2">
      <c r="A301" t="s">
        <v>85</v>
      </c>
      <c r="B301" t="s">
        <v>44</v>
      </c>
      <c r="C301">
        <v>5</v>
      </c>
      <c r="D301" s="12">
        <v>0.10486111111111111</v>
      </c>
    </row>
    <row r="302" spans="1:4" x14ac:dyDescent="0.2">
      <c r="A302" t="s">
        <v>32</v>
      </c>
      <c r="B302" t="s">
        <v>47</v>
      </c>
      <c r="C302">
        <v>5</v>
      </c>
      <c r="D302">
        <v>8</v>
      </c>
    </row>
    <row r="303" spans="1:4" x14ac:dyDescent="0.2">
      <c r="A303" t="s">
        <v>33</v>
      </c>
      <c r="B303" t="s">
        <v>47</v>
      </c>
      <c r="C303">
        <v>5</v>
      </c>
      <c r="D303">
        <v>8</v>
      </c>
    </row>
    <row r="304" spans="1:4" x14ac:dyDescent="0.2">
      <c r="A304" t="s">
        <v>34</v>
      </c>
      <c r="B304" t="s">
        <v>47</v>
      </c>
      <c r="C304">
        <v>5</v>
      </c>
      <c r="D304">
        <v>0</v>
      </c>
    </row>
    <row r="305" spans="1:4" x14ac:dyDescent="0.2">
      <c r="A305" t="s">
        <v>35</v>
      </c>
      <c r="B305" t="s">
        <v>47</v>
      </c>
      <c r="C305">
        <v>5</v>
      </c>
      <c r="D305">
        <v>7</v>
      </c>
    </row>
    <row r="306" spans="1:4" x14ac:dyDescent="0.2">
      <c r="A306" t="s">
        <v>36</v>
      </c>
      <c r="B306" t="s">
        <v>47</v>
      </c>
      <c r="C306">
        <v>5</v>
      </c>
      <c r="D306">
        <v>1</v>
      </c>
    </row>
    <row r="307" spans="1:4" x14ac:dyDescent="0.2">
      <c r="A307" t="s">
        <v>37</v>
      </c>
      <c r="B307" t="s">
        <v>47</v>
      </c>
      <c r="C307">
        <v>5</v>
      </c>
      <c r="D307">
        <v>1</v>
      </c>
    </row>
    <row r="308" spans="1:4" x14ac:dyDescent="0.2">
      <c r="A308" t="s">
        <v>38</v>
      </c>
      <c r="B308" t="s">
        <v>47</v>
      </c>
      <c r="C308">
        <v>5</v>
      </c>
      <c r="D308">
        <v>0</v>
      </c>
    </row>
    <row r="309" spans="1:4" x14ac:dyDescent="0.2">
      <c r="A309" t="s">
        <v>39</v>
      </c>
      <c r="B309" t="s">
        <v>47</v>
      </c>
      <c r="C309">
        <v>5</v>
      </c>
      <c r="D309">
        <v>0</v>
      </c>
    </row>
    <row r="310" spans="1:4" x14ac:dyDescent="0.2">
      <c r="A310" t="s">
        <v>84</v>
      </c>
      <c r="B310" t="s">
        <v>47</v>
      </c>
      <c r="C310">
        <v>5</v>
      </c>
      <c r="D310" s="12">
        <v>0.19722222222222222</v>
      </c>
    </row>
    <row r="311" spans="1:4" x14ac:dyDescent="0.2">
      <c r="A311" t="s">
        <v>85</v>
      </c>
      <c r="B311" t="s">
        <v>47</v>
      </c>
      <c r="C311">
        <v>5</v>
      </c>
      <c r="D311" s="12">
        <v>0.13680555555555554</v>
      </c>
    </row>
    <row r="312" spans="1:4" x14ac:dyDescent="0.2">
      <c r="A312" t="s">
        <v>32</v>
      </c>
      <c r="B312" t="s">
        <v>40</v>
      </c>
      <c r="C312">
        <v>5</v>
      </c>
      <c r="D312">
        <v>7</v>
      </c>
    </row>
    <row r="313" spans="1:4" x14ac:dyDescent="0.2">
      <c r="A313" t="s">
        <v>33</v>
      </c>
      <c r="B313" t="s">
        <v>40</v>
      </c>
      <c r="C313">
        <v>5</v>
      </c>
      <c r="D313">
        <v>7</v>
      </c>
    </row>
    <row r="314" spans="1:4" x14ac:dyDescent="0.2">
      <c r="A314" t="s">
        <v>34</v>
      </c>
      <c r="B314" t="s">
        <v>40</v>
      </c>
      <c r="C314">
        <v>5</v>
      </c>
      <c r="D314">
        <v>0</v>
      </c>
    </row>
    <row r="315" spans="1:4" x14ac:dyDescent="0.2">
      <c r="A315" t="s">
        <v>35</v>
      </c>
      <c r="B315" t="s">
        <v>40</v>
      </c>
      <c r="C315">
        <v>5</v>
      </c>
      <c r="D315">
        <v>6</v>
      </c>
    </row>
    <row r="316" spans="1:4" x14ac:dyDescent="0.2">
      <c r="A316" t="s">
        <v>36</v>
      </c>
      <c r="B316" t="s">
        <v>40</v>
      </c>
      <c r="C316">
        <v>5</v>
      </c>
      <c r="D316">
        <v>1</v>
      </c>
    </row>
    <row r="317" spans="1:4" x14ac:dyDescent="0.2">
      <c r="A317" t="s">
        <v>37</v>
      </c>
      <c r="B317" t="s">
        <v>40</v>
      </c>
      <c r="C317">
        <v>5</v>
      </c>
      <c r="D317">
        <v>1</v>
      </c>
    </row>
    <row r="318" spans="1:4" x14ac:dyDescent="0.2">
      <c r="A318" t="s">
        <v>38</v>
      </c>
      <c r="B318" t="s">
        <v>40</v>
      </c>
      <c r="C318">
        <v>5</v>
      </c>
      <c r="D318">
        <v>0</v>
      </c>
    </row>
    <row r="319" spans="1:4" x14ac:dyDescent="0.2">
      <c r="A319" t="s">
        <v>39</v>
      </c>
      <c r="B319" t="s">
        <v>40</v>
      </c>
      <c r="C319">
        <v>5</v>
      </c>
      <c r="D319">
        <v>0</v>
      </c>
    </row>
    <row r="320" spans="1:4" x14ac:dyDescent="0.2">
      <c r="A320" t="s">
        <v>84</v>
      </c>
      <c r="B320" t="s">
        <v>40</v>
      </c>
      <c r="C320">
        <v>5</v>
      </c>
      <c r="D320" s="12">
        <v>0.1763888888888889</v>
      </c>
    </row>
    <row r="321" spans="1:4" x14ac:dyDescent="0.2">
      <c r="A321" t="s">
        <v>85</v>
      </c>
      <c r="B321" t="s">
        <v>40</v>
      </c>
      <c r="C321">
        <v>5</v>
      </c>
      <c r="D321" s="12">
        <v>0.21875</v>
      </c>
    </row>
    <row r="322" spans="1:4" x14ac:dyDescent="0.2">
      <c r="A322" t="s">
        <v>32</v>
      </c>
      <c r="B322" t="s">
        <v>50</v>
      </c>
      <c r="C322">
        <v>5</v>
      </c>
      <c r="D322">
        <v>7</v>
      </c>
    </row>
    <row r="323" spans="1:4" x14ac:dyDescent="0.2">
      <c r="A323" t="s">
        <v>33</v>
      </c>
      <c r="B323" t="s">
        <v>50</v>
      </c>
      <c r="C323">
        <v>5</v>
      </c>
      <c r="D323">
        <v>3</v>
      </c>
    </row>
    <row r="324" spans="1:4" x14ac:dyDescent="0.2">
      <c r="A324" t="s">
        <v>34</v>
      </c>
      <c r="B324" t="s">
        <v>50</v>
      </c>
      <c r="C324">
        <v>5</v>
      </c>
      <c r="D324">
        <v>0</v>
      </c>
    </row>
    <row r="325" spans="1:4" x14ac:dyDescent="0.2">
      <c r="A325" t="s">
        <v>35</v>
      </c>
      <c r="B325" t="s">
        <v>50</v>
      </c>
      <c r="C325">
        <v>5</v>
      </c>
      <c r="D325">
        <v>2</v>
      </c>
    </row>
    <row r="326" spans="1:4" x14ac:dyDescent="0.2">
      <c r="A326" t="s">
        <v>36</v>
      </c>
      <c r="B326" t="s">
        <v>50</v>
      </c>
      <c r="C326">
        <v>5</v>
      </c>
      <c r="D326">
        <v>1</v>
      </c>
    </row>
    <row r="327" spans="1:4" x14ac:dyDescent="0.2">
      <c r="A327" t="s">
        <v>37</v>
      </c>
      <c r="B327" t="s">
        <v>50</v>
      </c>
      <c r="C327">
        <v>5</v>
      </c>
      <c r="D327">
        <v>1</v>
      </c>
    </row>
    <row r="328" spans="1:4" x14ac:dyDescent="0.2">
      <c r="A328" t="s">
        <v>38</v>
      </c>
      <c r="B328" t="s">
        <v>50</v>
      </c>
      <c r="C328">
        <v>5</v>
      </c>
      <c r="D328">
        <v>4</v>
      </c>
    </row>
    <row r="329" spans="1:4" x14ac:dyDescent="0.2">
      <c r="A329" t="s">
        <v>39</v>
      </c>
      <c r="B329" t="s">
        <v>50</v>
      </c>
      <c r="C329">
        <v>5</v>
      </c>
      <c r="D329">
        <v>0</v>
      </c>
    </row>
    <row r="330" spans="1:4" x14ac:dyDescent="0.2">
      <c r="A330" t="s">
        <v>84</v>
      </c>
      <c r="B330" t="s">
        <v>50</v>
      </c>
      <c r="C330">
        <v>5</v>
      </c>
      <c r="D330" s="12">
        <v>0.1763888888888889</v>
      </c>
    </row>
    <row r="331" spans="1:4" x14ac:dyDescent="0.2">
      <c r="A331" t="s">
        <v>85</v>
      </c>
      <c r="B331" t="s">
        <v>50</v>
      </c>
      <c r="C331">
        <v>5</v>
      </c>
      <c r="D331" s="12">
        <v>1.0416666666666666E-2</v>
      </c>
    </row>
    <row r="332" spans="1:4" x14ac:dyDescent="0.2">
      <c r="A332" t="s">
        <v>32</v>
      </c>
      <c r="B332" t="s">
        <v>53</v>
      </c>
      <c r="C332">
        <v>5</v>
      </c>
      <c r="D332">
        <v>7</v>
      </c>
    </row>
    <row r="333" spans="1:4" x14ac:dyDescent="0.2">
      <c r="A333" t="s">
        <v>33</v>
      </c>
      <c r="B333" t="s">
        <v>53</v>
      </c>
      <c r="C333">
        <v>5</v>
      </c>
      <c r="D333">
        <v>7</v>
      </c>
    </row>
    <row r="334" spans="1:4" x14ac:dyDescent="0.2">
      <c r="A334" t="s">
        <v>34</v>
      </c>
      <c r="B334" t="s">
        <v>53</v>
      </c>
      <c r="C334">
        <v>5</v>
      </c>
      <c r="D334">
        <v>0</v>
      </c>
    </row>
    <row r="335" spans="1:4" x14ac:dyDescent="0.2">
      <c r="A335" t="s">
        <v>35</v>
      </c>
      <c r="B335" t="s">
        <v>53</v>
      </c>
      <c r="C335">
        <v>5</v>
      </c>
      <c r="D335">
        <v>6</v>
      </c>
    </row>
    <row r="336" spans="1:4" x14ac:dyDescent="0.2">
      <c r="A336" t="s">
        <v>36</v>
      </c>
      <c r="B336" t="s">
        <v>53</v>
      </c>
      <c r="C336">
        <v>5</v>
      </c>
      <c r="D336">
        <v>1</v>
      </c>
    </row>
    <row r="337" spans="1:4" x14ac:dyDescent="0.2">
      <c r="A337" t="s">
        <v>37</v>
      </c>
      <c r="B337" t="s">
        <v>53</v>
      </c>
      <c r="C337">
        <v>5</v>
      </c>
      <c r="D337">
        <v>1</v>
      </c>
    </row>
    <row r="338" spans="1:4" x14ac:dyDescent="0.2">
      <c r="A338" t="s">
        <v>38</v>
      </c>
      <c r="B338" t="s">
        <v>53</v>
      </c>
      <c r="C338">
        <v>5</v>
      </c>
      <c r="D338">
        <v>0</v>
      </c>
    </row>
    <row r="339" spans="1:4" x14ac:dyDescent="0.2">
      <c r="A339" t="s">
        <v>39</v>
      </c>
      <c r="B339" t="s">
        <v>53</v>
      </c>
      <c r="C339">
        <v>5</v>
      </c>
      <c r="D339">
        <v>0</v>
      </c>
    </row>
    <row r="340" spans="1:4" x14ac:dyDescent="0.2">
      <c r="A340" t="s">
        <v>84</v>
      </c>
      <c r="B340" t="s">
        <v>53</v>
      </c>
      <c r="C340">
        <v>5</v>
      </c>
      <c r="D340" s="12">
        <v>0.1763888888888889</v>
      </c>
    </row>
    <row r="341" spans="1:4" x14ac:dyDescent="0.2">
      <c r="A341" t="s">
        <v>85</v>
      </c>
      <c r="B341" t="s">
        <v>53</v>
      </c>
      <c r="C341">
        <v>5</v>
      </c>
      <c r="D341" s="12">
        <v>0.29375000000000001</v>
      </c>
    </row>
    <row r="342" spans="1:4" x14ac:dyDescent="0.2">
      <c r="A342" t="s">
        <v>32</v>
      </c>
      <c r="B342" t="s">
        <v>83</v>
      </c>
      <c r="C342">
        <v>5</v>
      </c>
      <c r="D342">
        <v>3</v>
      </c>
    </row>
    <row r="343" spans="1:4" x14ac:dyDescent="0.2">
      <c r="A343" t="s">
        <v>33</v>
      </c>
      <c r="B343" t="s">
        <v>83</v>
      </c>
      <c r="C343">
        <v>5</v>
      </c>
      <c r="D343">
        <v>3</v>
      </c>
    </row>
    <row r="344" spans="1:4" x14ac:dyDescent="0.2">
      <c r="A344" t="s">
        <v>34</v>
      </c>
      <c r="B344" t="s">
        <v>83</v>
      </c>
      <c r="C344">
        <v>5</v>
      </c>
      <c r="D344">
        <v>0</v>
      </c>
    </row>
    <row r="345" spans="1:4" x14ac:dyDescent="0.2">
      <c r="A345" t="s">
        <v>35</v>
      </c>
      <c r="B345" t="s">
        <v>83</v>
      </c>
      <c r="C345">
        <v>5</v>
      </c>
      <c r="D345">
        <v>2</v>
      </c>
    </row>
    <row r="346" spans="1:4" x14ac:dyDescent="0.2">
      <c r="A346" t="s">
        <v>36</v>
      </c>
      <c r="B346" t="s">
        <v>83</v>
      </c>
      <c r="C346">
        <v>5</v>
      </c>
      <c r="D346">
        <v>1</v>
      </c>
    </row>
    <row r="347" spans="1:4" x14ac:dyDescent="0.2">
      <c r="A347" t="s">
        <v>37</v>
      </c>
      <c r="B347" t="s">
        <v>83</v>
      </c>
      <c r="C347">
        <v>5</v>
      </c>
      <c r="D347">
        <v>1</v>
      </c>
    </row>
    <row r="348" spans="1:4" x14ac:dyDescent="0.2">
      <c r="A348" t="s">
        <v>38</v>
      </c>
      <c r="B348" t="s">
        <v>83</v>
      </c>
      <c r="C348">
        <v>5</v>
      </c>
      <c r="D348">
        <v>0</v>
      </c>
    </row>
    <row r="349" spans="1:4" x14ac:dyDescent="0.2">
      <c r="A349" t="s">
        <v>39</v>
      </c>
      <c r="B349" t="s">
        <v>83</v>
      </c>
      <c r="C349">
        <v>5</v>
      </c>
      <c r="D349">
        <v>0</v>
      </c>
    </row>
    <row r="350" spans="1:4" x14ac:dyDescent="0.2">
      <c r="A350" t="s">
        <v>84</v>
      </c>
      <c r="B350" t="s">
        <v>83</v>
      </c>
      <c r="C350">
        <v>5</v>
      </c>
      <c r="D350" s="12">
        <v>9.7222222222222224E-3</v>
      </c>
    </row>
    <row r="351" spans="1:4" x14ac:dyDescent="0.2">
      <c r="A351" t="s">
        <v>85</v>
      </c>
      <c r="B351" t="s">
        <v>83</v>
      </c>
      <c r="C351">
        <v>5</v>
      </c>
      <c r="D351" s="12">
        <v>1.0416666666666666E-2</v>
      </c>
    </row>
    <row r="352" spans="1:4" x14ac:dyDescent="0.2">
      <c r="A352" t="s">
        <v>32</v>
      </c>
      <c r="B352" t="s">
        <v>41</v>
      </c>
      <c r="C352">
        <v>6</v>
      </c>
      <c r="D352">
        <v>5</v>
      </c>
    </row>
    <row r="353" spans="1:4" x14ac:dyDescent="0.2">
      <c r="A353" t="s">
        <v>33</v>
      </c>
      <c r="B353" t="s">
        <v>41</v>
      </c>
      <c r="C353">
        <v>6</v>
      </c>
      <c r="D353">
        <v>3</v>
      </c>
    </row>
    <row r="354" spans="1:4" x14ac:dyDescent="0.2">
      <c r="A354" t="s">
        <v>34</v>
      </c>
      <c r="B354" t="s">
        <v>41</v>
      </c>
      <c r="C354">
        <v>6</v>
      </c>
      <c r="D354">
        <v>0</v>
      </c>
    </row>
    <row r="355" spans="1:4" x14ac:dyDescent="0.2">
      <c r="A355" t="s">
        <v>35</v>
      </c>
      <c r="B355" t="s">
        <v>41</v>
      </c>
      <c r="C355">
        <v>6</v>
      </c>
      <c r="D355">
        <v>2</v>
      </c>
    </row>
    <row r="356" spans="1:4" x14ac:dyDescent="0.2">
      <c r="A356" t="s">
        <v>36</v>
      </c>
      <c r="B356" t="s">
        <v>41</v>
      </c>
      <c r="C356">
        <v>6</v>
      </c>
      <c r="D356">
        <v>1</v>
      </c>
    </row>
    <row r="357" spans="1:4" x14ac:dyDescent="0.2">
      <c r="A357" t="s">
        <v>37</v>
      </c>
      <c r="B357" t="s">
        <v>41</v>
      </c>
      <c r="C357">
        <v>6</v>
      </c>
      <c r="D357">
        <v>0</v>
      </c>
    </row>
    <row r="358" spans="1:4" x14ac:dyDescent="0.2">
      <c r="A358" t="s">
        <v>38</v>
      </c>
      <c r="B358" t="s">
        <v>41</v>
      </c>
      <c r="C358">
        <v>6</v>
      </c>
      <c r="D358">
        <v>2</v>
      </c>
    </row>
    <row r="359" spans="1:4" x14ac:dyDescent="0.2">
      <c r="A359" t="s">
        <v>39</v>
      </c>
      <c r="B359" t="s">
        <v>41</v>
      </c>
      <c r="C359">
        <v>6</v>
      </c>
      <c r="D359">
        <v>0</v>
      </c>
    </row>
    <row r="360" spans="1:4" x14ac:dyDescent="0.2">
      <c r="A360" t="s">
        <v>84</v>
      </c>
      <c r="B360" t="s">
        <v>41</v>
      </c>
      <c r="C360">
        <v>6</v>
      </c>
      <c r="D360" s="12">
        <v>0.19166666666666665</v>
      </c>
    </row>
    <row r="361" spans="1:4" x14ac:dyDescent="0.2">
      <c r="A361" t="s">
        <v>85</v>
      </c>
      <c r="B361" t="s">
        <v>41</v>
      </c>
      <c r="C361">
        <v>6</v>
      </c>
      <c r="D361" s="12">
        <v>9.930555555555555E-2</v>
      </c>
    </row>
    <row r="362" spans="1:4" x14ac:dyDescent="0.2">
      <c r="A362" t="s">
        <v>32</v>
      </c>
      <c r="B362" t="s">
        <v>44</v>
      </c>
      <c r="C362">
        <v>6</v>
      </c>
      <c r="D362">
        <v>5</v>
      </c>
    </row>
    <row r="363" spans="1:4" x14ac:dyDescent="0.2">
      <c r="A363" t="s">
        <v>33</v>
      </c>
      <c r="B363" t="s">
        <v>44</v>
      </c>
      <c r="C363">
        <v>6</v>
      </c>
      <c r="D363">
        <v>2</v>
      </c>
    </row>
    <row r="364" spans="1:4" x14ac:dyDescent="0.2">
      <c r="A364" t="s">
        <v>34</v>
      </c>
      <c r="B364" t="s">
        <v>44</v>
      </c>
      <c r="C364">
        <v>6</v>
      </c>
      <c r="D364">
        <v>0</v>
      </c>
    </row>
    <row r="365" spans="1:4" x14ac:dyDescent="0.2">
      <c r="A365" t="s">
        <v>35</v>
      </c>
      <c r="B365" t="s">
        <v>44</v>
      </c>
      <c r="C365">
        <v>6</v>
      </c>
      <c r="D365">
        <v>0</v>
      </c>
    </row>
    <row r="366" spans="1:4" x14ac:dyDescent="0.2">
      <c r="A366" t="s">
        <v>36</v>
      </c>
      <c r="B366" t="s">
        <v>44</v>
      </c>
      <c r="C366">
        <v>6</v>
      </c>
      <c r="D366">
        <v>2</v>
      </c>
    </row>
    <row r="367" spans="1:4" x14ac:dyDescent="0.2">
      <c r="A367" t="s">
        <v>37</v>
      </c>
      <c r="B367" t="s">
        <v>44</v>
      </c>
      <c r="C367">
        <v>6</v>
      </c>
      <c r="D367">
        <v>0</v>
      </c>
    </row>
    <row r="368" spans="1:4" x14ac:dyDescent="0.2">
      <c r="A368" t="s">
        <v>38</v>
      </c>
      <c r="B368" t="s">
        <v>44</v>
      </c>
      <c r="C368">
        <v>6</v>
      </c>
      <c r="D368">
        <v>3</v>
      </c>
    </row>
    <row r="369" spans="1:4" x14ac:dyDescent="0.2">
      <c r="A369" t="s">
        <v>39</v>
      </c>
      <c r="B369" t="s">
        <v>44</v>
      </c>
      <c r="C369">
        <v>6</v>
      </c>
      <c r="D369">
        <v>0</v>
      </c>
    </row>
    <row r="370" spans="1:4" x14ac:dyDescent="0.2">
      <c r="A370" t="s">
        <v>84</v>
      </c>
      <c r="B370" t="s">
        <v>44</v>
      </c>
      <c r="C370">
        <v>6</v>
      </c>
      <c r="D370" s="12">
        <v>0.19166666666666665</v>
      </c>
    </row>
    <row r="371" spans="1:4" x14ac:dyDescent="0.2">
      <c r="A371" t="s">
        <v>85</v>
      </c>
      <c r="B371" t="s">
        <v>44</v>
      </c>
      <c r="C371">
        <v>6</v>
      </c>
      <c r="D371" s="12">
        <v>5.9027777777777783E-2</v>
      </c>
    </row>
    <row r="372" spans="1:4" x14ac:dyDescent="0.2">
      <c r="A372" t="s">
        <v>32</v>
      </c>
      <c r="B372" t="s">
        <v>47</v>
      </c>
      <c r="C372">
        <v>6</v>
      </c>
      <c r="D372">
        <v>6</v>
      </c>
    </row>
    <row r="373" spans="1:4" x14ac:dyDescent="0.2">
      <c r="A373" t="s">
        <v>33</v>
      </c>
      <c r="B373" t="s">
        <v>47</v>
      </c>
      <c r="C373">
        <v>6</v>
      </c>
      <c r="D373">
        <v>3</v>
      </c>
    </row>
    <row r="374" spans="1:4" x14ac:dyDescent="0.2">
      <c r="A374" t="s">
        <v>34</v>
      </c>
      <c r="B374" t="s">
        <v>47</v>
      </c>
      <c r="C374">
        <v>6</v>
      </c>
      <c r="D374">
        <v>0</v>
      </c>
    </row>
    <row r="375" spans="1:4" x14ac:dyDescent="0.2">
      <c r="A375" t="s">
        <v>35</v>
      </c>
      <c r="B375" t="s">
        <v>47</v>
      </c>
      <c r="C375">
        <v>6</v>
      </c>
      <c r="D375">
        <v>1</v>
      </c>
    </row>
    <row r="376" spans="1:4" x14ac:dyDescent="0.2">
      <c r="A376" t="s">
        <v>36</v>
      </c>
      <c r="B376" t="s">
        <v>47</v>
      </c>
      <c r="C376">
        <v>6</v>
      </c>
      <c r="D376">
        <v>2</v>
      </c>
    </row>
    <row r="377" spans="1:4" x14ac:dyDescent="0.2">
      <c r="A377" t="s">
        <v>37</v>
      </c>
      <c r="B377" t="s">
        <v>47</v>
      </c>
      <c r="C377">
        <v>6</v>
      </c>
      <c r="D377">
        <v>0</v>
      </c>
    </row>
    <row r="378" spans="1:4" x14ac:dyDescent="0.2">
      <c r="A378" t="s">
        <v>38</v>
      </c>
      <c r="B378" t="s">
        <v>47</v>
      </c>
      <c r="C378">
        <v>6</v>
      </c>
      <c r="D378">
        <v>3</v>
      </c>
    </row>
    <row r="379" spans="1:4" x14ac:dyDescent="0.2">
      <c r="A379" t="s">
        <v>39</v>
      </c>
      <c r="B379" t="s">
        <v>47</v>
      </c>
      <c r="C379">
        <v>6</v>
      </c>
      <c r="D379">
        <v>0</v>
      </c>
    </row>
    <row r="380" spans="1:4" x14ac:dyDescent="0.2">
      <c r="A380" t="s">
        <v>84</v>
      </c>
      <c r="B380" t="s">
        <v>47</v>
      </c>
      <c r="C380">
        <v>6</v>
      </c>
      <c r="D380" s="12">
        <v>0.23333333333333331</v>
      </c>
    </row>
    <row r="381" spans="1:4" x14ac:dyDescent="0.2">
      <c r="A381" t="s">
        <v>85</v>
      </c>
      <c r="B381" t="s">
        <v>47</v>
      </c>
      <c r="C381">
        <v>6</v>
      </c>
      <c r="D381" s="12">
        <v>4.9305555555555554E-2</v>
      </c>
    </row>
    <row r="382" spans="1:4" x14ac:dyDescent="0.2">
      <c r="A382" t="s">
        <v>32</v>
      </c>
      <c r="B382" t="s">
        <v>40</v>
      </c>
      <c r="C382">
        <v>6</v>
      </c>
      <c r="D382">
        <v>5</v>
      </c>
    </row>
    <row r="383" spans="1:4" x14ac:dyDescent="0.2">
      <c r="A383" t="s">
        <v>33</v>
      </c>
      <c r="B383" t="s">
        <v>40</v>
      </c>
      <c r="C383">
        <v>6</v>
      </c>
      <c r="D383">
        <v>3</v>
      </c>
    </row>
    <row r="384" spans="1:4" x14ac:dyDescent="0.2">
      <c r="A384" t="s">
        <v>34</v>
      </c>
      <c r="B384" t="s">
        <v>40</v>
      </c>
      <c r="C384">
        <v>6</v>
      </c>
      <c r="D384">
        <v>0</v>
      </c>
    </row>
    <row r="385" spans="1:4" x14ac:dyDescent="0.2">
      <c r="A385" t="s">
        <v>35</v>
      </c>
      <c r="B385" t="s">
        <v>40</v>
      </c>
      <c r="C385">
        <v>6</v>
      </c>
      <c r="D385">
        <v>1</v>
      </c>
    </row>
    <row r="386" spans="1:4" x14ac:dyDescent="0.2">
      <c r="A386" t="s">
        <v>36</v>
      </c>
      <c r="B386" t="s">
        <v>40</v>
      </c>
      <c r="C386">
        <v>6</v>
      </c>
      <c r="D386">
        <v>2</v>
      </c>
    </row>
    <row r="387" spans="1:4" x14ac:dyDescent="0.2">
      <c r="A387" t="s">
        <v>37</v>
      </c>
      <c r="B387" t="s">
        <v>40</v>
      </c>
      <c r="C387">
        <v>6</v>
      </c>
      <c r="D387">
        <v>0</v>
      </c>
    </row>
    <row r="388" spans="1:4" x14ac:dyDescent="0.2">
      <c r="A388" t="s">
        <v>38</v>
      </c>
      <c r="B388" t="s">
        <v>40</v>
      </c>
      <c r="C388">
        <v>6</v>
      </c>
      <c r="D388">
        <v>2</v>
      </c>
    </row>
    <row r="389" spans="1:4" x14ac:dyDescent="0.2">
      <c r="A389" t="s">
        <v>39</v>
      </c>
      <c r="B389" t="s">
        <v>40</v>
      </c>
      <c r="C389">
        <v>6</v>
      </c>
      <c r="D389">
        <v>0</v>
      </c>
    </row>
    <row r="390" spans="1:4" x14ac:dyDescent="0.2">
      <c r="A390" t="s">
        <v>84</v>
      </c>
      <c r="B390" t="s">
        <v>40</v>
      </c>
      <c r="C390">
        <v>6</v>
      </c>
      <c r="D390" s="12">
        <v>0.19166666666666665</v>
      </c>
    </row>
    <row r="391" spans="1:4" x14ac:dyDescent="0.2">
      <c r="A391" t="s">
        <v>85</v>
      </c>
      <c r="B391" t="s">
        <v>40</v>
      </c>
      <c r="C391">
        <v>6</v>
      </c>
      <c r="D391" s="12">
        <v>0.12847222222222224</v>
      </c>
    </row>
    <row r="392" spans="1:4" x14ac:dyDescent="0.2">
      <c r="A392" t="s">
        <v>32</v>
      </c>
      <c r="B392" t="s">
        <v>50</v>
      </c>
      <c r="C392">
        <v>6</v>
      </c>
      <c r="D392">
        <v>5</v>
      </c>
    </row>
    <row r="393" spans="1:4" x14ac:dyDescent="0.2">
      <c r="A393" t="s">
        <v>33</v>
      </c>
      <c r="B393" t="s">
        <v>50</v>
      </c>
      <c r="C393">
        <v>6</v>
      </c>
      <c r="D393">
        <v>2</v>
      </c>
    </row>
    <row r="394" spans="1:4" x14ac:dyDescent="0.2">
      <c r="A394" t="s">
        <v>34</v>
      </c>
      <c r="B394" t="s">
        <v>50</v>
      </c>
      <c r="C394">
        <v>6</v>
      </c>
      <c r="D394">
        <v>0</v>
      </c>
    </row>
    <row r="395" spans="1:4" x14ac:dyDescent="0.2">
      <c r="A395" t="s">
        <v>35</v>
      </c>
      <c r="B395" t="s">
        <v>50</v>
      </c>
      <c r="C395">
        <v>6</v>
      </c>
      <c r="D395">
        <v>0</v>
      </c>
    </row>
    <row r="396" spans="1:4" x14ac:dyDescent="0.2">
      <c r="A396" t="s">
        <v>36</v>
      </c>
      <c r="B396" t="s">
        <v>50</v>
      </c>
      <c r="C396">
        <v>6</v>
      </c>
      <c r="D396">
        <v>2</v>
      </c>
    </row>
    <row r="397" spans="1:4" x14ac:dyDescent="0.2">
      <c r="A397" t="s">
        <v>37</v>
      </c>
      <c r="B397" t="s">
        <v>50</v>
      </c>
      <c r="C397">
        <v>6</v>
      </c>
      <c r="D397">
        <v>1</v>
      </c>
    </row>
    <row r="398" spans="1:4" x14ac:dyDescent="0.2">
      <c r="A398" t="s">
        <v>38</v>
      </c>
      <c r="B398" t="s">
        <v>50</v>
      </c>
      <c r="C398">
        <v>6</v>
      </c>
      <c r="D398">
        <v>3</v>
      </c>
    </row>
    <row r="399" spans="1:4" x14ac:dyDescent="0.2">
      <c r="A399" t="s">
        <v>39</v>
      </c>
      <c r="B399" t="s">
        <v>50</v>
      </c>
      <c r="C399">
        <v>6</v>
      </c>
      <c r="D399">
        <v>0</v>
      </c>
    </row>
    <row r="400" spans="1:4" x14ac:dyDescent="0.2">
      <c r="A400" t="s">
        <v>84</v>
      </c>
      <c r="B400" t="s">
        <v>50</v>
      </c>
      <c r="C400">
        <v>6</v>
      </c>
      <c r="D400" s="12">
        <v>0.19166666666666665</v>
      </c>
    </row>
    <row r="401" spans="1:4" x14ac:dyDescent="0.2">
      <c r="A401" t="s">
        <v>85</v>
      </c>
      <c r="B401" t="s">
        <v>50</v>
      </c>
      <c r="C401">
        <v>6</v>
      </c>
      <c r="D401" s="12">
        <v>3.472222222222222E-3</v>
      </c>
    </row>
    <row r="402" spans="1:4" x14ac:dyDescent="0.2">
      <c r="A402" t="s">
        <v>32</v>
      </c>
      <c r="B402" t="s">
        <v>53</v>
      </c>
      <c r="C402">
        <v>6</v>
      </c>
      <c r="D402">
        <v>5</v>
      </c>
    </row>
    <row r="403" spans="1:4" x14ac:dyDescent="0.2">
      <c r="A403" t="s">
        <v>33</v>
      </c>
      <c r="B403" t="s">
        <v>53</v>
      </c>
      <c r="C403">
        <v>6</v>
      </c>
      <c r="D403">
        <v>4</v>
      </c>
    </row>
    <row r="404" spans="1:4" x14ac:dyDescent="0.2">
      <c r="A404" t="s">
        <v>34</v>
      </c>
      <c r="B404" t="s">
        <v>53</v>
      </c>
      <c r="C404">
        <v>6</v>
      </c>
      <c r="D404">
        <v>0</v>
      </c>
    </row>
    <row r="405" spans="1:4" x14ac:dyDescent="0.2">
      <c r="A405" t="s">
        <v>35</v>
      </c>
      <c r="B405" t="s">
        <v>53</v>
      </c>
      <c r="C405">
        <v>6</v>
      </c>
      <c r="D405">
        <v>2</v>
      </c>
    </row>
    <row r="406" spans="1:4" x14ac:dyDescent="0.2">
      <c r="A406" t="s">
        <v>36</v>
      </c>
      <c r="B406" t="s">
        <v>53</v>
      </c>
      <c r="C406">
        <v>6</v>
      </c>
      <c r="D406">
        <v>2</v>
      </c>
    </row>
    <row r="407" spans="1:4" x14ac:dyDescent="0.2">
      <c r="A407" t="s">
        <v>37</v>
      </c>
      <c r="B407" t="s">
        <v>53</v>
      </c>
      <c r="C407">
        <v>6</v>
      </c>
      <c r="D407">
        <v>0</v>
      </c>
    </row>
    <row r="408" spans="1:4" x14ac:dyDescent="0.2">
      <c r="A408" t="s">
        <v>38</v>
      </c>
      <c r="B408" t="s">
        <v>53</v>
      </c>
      <c r="C408">
        <v>6</v>
      </c>
      <c r="D408">
        <v>1</v>
      </c>
    </row>
    <row r="409" spans="1:4" x14ac:dyDescent="0.2">
      <c r="A409" t="s">
        <v>39</v>
      </c>
      <c r="B409" t="s">
        <v>53</v>
      </c>
      <c r="C409">
        <v>6</v>
      </c>
      <c r="D409">
        <v>0</v>
      </c>
    </row>
    <row r="410" spans="1:4" x14ac:dyDescent="0.2">
      <c r="A410" t="s">
        <v>84</v>
      </c>
      <c r="B410" t="s">
        <v>53</v>
      </c>
      <c r="C410">
        <v>6</v>
      </c>
      <c r="D410" s="12">
        <v>0.19166666666666665</v>
      </c>
    </row>
    <row r="411" spans="1:4" x14ac:dyDescent="0.2">
      <c r="A411" t="s">
        <v>85</v>
      </c>
      <c r="B411" t="s">
        <v>53</v>
      </c>
      <c r="C411">
        <v>6</v>
      </c>
      <c r="D411" s="12">
        <v>0.27152777777777776</v>
      </c>
    </row>
    <row r="412" spans="1:4" x14ac:dyDescent="0.2">
      <c r="A412" t="s">
        <v>32</v>
      </c>
      <c r="B412" t="s">
        <v>83</v>
      </c>
      <c r="C412">
        <v>6</v>
      </c>
      <c r="D412">
        <v>1</v>
      </c>
    </row>
    <row r="413" spans="1:4" x14ac:dyDescent="0.2">
      <c r="A413" t="s">
        <v>33</v>
      </c>
      <c r="B413" t="s">
        <v>83</v>
      </c>
      <c r="C413">
        <v>6</v>
      </c>
      <c r="D413">
        <v>1</v>
      </c>
    </row>
    <row r="414" spans="1:4" x14ac:dyDescent="0.2">
      <c r="A414" t="s">
        <v>34</v>
      </c>
      <c r="B414" t="s">
        <v>83</v>
      </c>
      <c r="C414">
        <v>6</v>
      </c>
      <c r="D414">
        <v>0</v>
      </c>
    </row>
    <row r="415" spans="1:4" x14ac:dyDescent="0.2">
      <c r="A415" t="s">
        <v>35</v>
      </c>
      <c r="B415" t="s">
        <v>83</v>
      </c>
      <c r="C415">
        <v>6</v>
      </c>
      <c r="D415">
        <v>0</v>
      </c>
    </row>
    <row r="416" spans="1:4" x14ac:dyDescent="0.2">
      <c r="A416" t="s">
        <v>36</v>
      </c>
      <c r="B416" t="s">
        <v>83</v>
      </c>
      <c r="C416">
        <v>6</v>
      </c>
      <c r="D416">
        <v>1</v>
      </c>
    </row>
    <row r="417" spans="1:4" x14ac:dyDescent="0.2">
      <c r="A417" t="s">
        <v>37</v>
      </c>
      <c r="B417" t="s">
        <v>83</v>
      </c>
      <c r="C417">
        <v>6</v>
      </c>
      <c r="D417">
        <v>0</v>
      </c>
    </row>
    <row r="418" spans="1:4" x14ac:dyDescent="0.2">
      <c r="A418" t="s">
        <v>38</v>
      </c>
      <c r="B418" t="s">
        <v>83</v>
      </c>
      <c r="C418">
        <v>6</v>
      </c>
      <c r="D418">
        <v>0</v>
      </c>
    </row>
    <row r="419" spans="1:4" x14ac:dyDescent="0.2">
      <c r="A419" t="s">
        <v>39</v>
      </c>
      <c r="B419" t="s">
        <v>83</v>
      </c>
      <c r="C419">
        <v>6</v>
      </c>
      <c r="D419">
        <v>0</v>
      </c>
    </row>
    <row r="420" spans="1:4" x14ac:dyDescent="0.2">
      <c r="A420" t="s">
        <v>84</v>
      </c>
      <c r="B420" t="s">
        <v>83</v>
      </c>
      <c r="C420">
        <v>6</v>
      </c>
      <c r="D420" s="12">
        <v>4.1666666666666666E-3</v>
      </c>
    </row>
    <row r="421" spans="1:4" x14ac:dyDescent="0.2">
      <c r="A421" t="s">
        <v>85</v>
      </c>
      <c r="B421" t="s">
        <v>83</v>
      </c>
      <c r="C421">
        <v>6</v>
      </c>
      <c r="D421" s="12">
        <v>3.472222222222222E-3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Botón1_AlHacerClic">
                <anchor moveWithCells="1" sizeWithCells="1">
                  <from>
                    <xdr:col>11</xdr:col>
                    <xdr:colOff>114300</xdr:colOff>
                    <xdr:row>2</xdr:row>
                    <xdr:rowOff>25400</xdr:rowOff>
                  </from>
                  <to>
                    <xdr:col>12</xdr:col>
                    <xdr:colOff>203200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1F3D-1316-0448-BE99-799F761D594B}">
  <dimension ref="A1:P26"/>
  <sheetViews>
    <sheetView showGridLines="0" workbookViewId="0">
      <selection activeCell="E33" sqref="E33"/>
    </sheetView>
  </sheetViews>
  <sheetFormatPr baseColWidth="10" defaultRowHeight="16" x14ac:dyDescent="0.2"/>
  <cols>
    <col min="1" max="1" width="18.5" bestFit="1" customWidth="1"/>
    <col min="2" max="2" width="9.83203125" bestFit="1" customWidth="1"/>
    <col min="4" max="4" width="19.83203125" bestFit="1" customWidth="1"/>
    <col min="5" max="5" width="9.83203125" bestFit="1" customWidth="1"/>
    <col min="11" max="11" width="17" hidden="1" customWidth="1"/>
    <col min="12" max="12" width="21.5" hidden="1" customWidth="1"/>
    <col min="13" max="13" width="16.33203125" hidden="1" customWidth="1"/>
    <col min="14" max="14" width="17.1640625" hidden="1" customWidth="1"/>
    <col min="15" max="15" width="18.1640625" hidden="1" customWidth="1"/>
    <col min="16" max="16" width="12" hidden="1" customWidth="1"/>
    <col min="17" max="17" width="10.5" bestFit="1" customWidth="1"/>
    <col min="18" max="18" width="17.1640625" bestFit="1" customWidth="1"/>
    <col min="19" max="19" width="18.1640625" bestFit="1" customWidth="1"/>
    <col min="20" max="20" width="25" bestFit="1" customWidth="1"/>
    <col min="21" max="21" width="25.6640625" bestFit="1" customWidth="1"/>
    <col min="22" max="22" width="12.1640625" bestFit="1" customWidth="1"/>
  </cols>
  <sheetData>
    <row r="1" spans="1:16" x14ac:dyDescent="0.2">
      <c r="K1" s="4" t="s">
        <v>28</v>
      </c>
      <c r="L1" s="4" t="s">
        <v>31</v>
      </c>
    </row>
    <row r="2" spans="1:16" x14ac:dyDescent="0.2">
      <c r="K2" s="4" t="s">
        <v>29</v>
      </c>
      <c r="L2" t="s">
        <v>32</v>
      </c>
      <c r="M2" t="s">
        <v>33</v>
      </c>
      <c r="N2" t="s">
        <v>38</v>
      </c>
      <c r="O2" t="s">
        <v>39</v>
      </c>
      <c r="P2" t="s">
        <v>30</v>
      </c>
    </row>
    <row r="3" spans="1:16" x14ac:dyDescent="0.2">
      <c r="A3" s="4" t="s">
        <v>29</v>
      </c>
      <c r="B3" t="s">
        <v>28</v>
      </c>
      <c r="D3" s="4" t="s">
        <v>29</v>
      </c>
      <c r="E3" t="s">
        <v>28</v>
      </c>
      <c r="K3" s="5">
        <v>1</v>
      </c>
      <c r="L3" s="3">
        <v>18</v>
      </c>
      <c r="M3" s="3">
        <v>17</v>
      </c>
      <c r="N3" s="3">
        <v>1</v>
      </c>
      <c r="O3" s="3">
        <v>0</v>
      </c>
      <c r="P3" s="3">
        <v>36</v>
      </c>
    </row>
    <row r="4" spans="1:16" x14ac:dyDescent="0.2">
      <c r="A4" s="5" t="s">
        <v>33</v>
      </c>
      <c r="B4" s="3">
        <v>198</v>
      </c>
      <c r="D4" s="5" t="s">
        <v>32</v>
      </c>
      <c r="E4" s="3">
        <v>216</v>
      </c>
      <c r="G4" t="str">
        <f>A4</f>
        <v>2. Tareas cerradas</v>
      </c>
      <c r="K4" s="5">
        <v>2</v>
      </c>
      <c r="L4" s="3">
        <v>33</v>
      </c>
      <c r="M4" s="3">
        <v>33</v>
      </c>
      <c r="N4" s="3">
        <v>0</v>
      </c>
      <c r="O4" s="3">
        <v>0</v>
      </c>
      <c r="P4" s="3">
        <v>66</v>
      </c>
    </row>
    <row r="5" spans="1:16" x14ac:dyDescent="0.2">
      <c r="A5" s="20">
        <v>1</v>
      </c>
      <c r="B5" s="3">
        <v>17</v>
      </c>
      <c r="D5" s="20">
        <v>1</v>
      </c>
      <c r="E5" s="3">
        <v>18</v>
      </c>
      <c r="G5">
        <f>A5</f>
        <v>1</v>
      </c>
      <c r="H5" s="21">
        <f>B5/GETPIVOTDATA("#",$E$5,"Tipo","1. Tareas planeadas","Semana",1)</f>
        <v>0.94444444444444442</v>
      </c>
      <c r="K5" s="5">
        <v>3</v>
      </c>
      <c r="L5" s="3">
        <v>39</v>
      </c>
      <c r="M5" s="3">
        <v>37</v>
      </c>
      <c r="N5" s="3">
        <v>2</v>
      </c>
      <c r="O5" s="3">
        <v>0</v>
      </c>
      <c r="P5" s="3">
        <v>78</v>
      </c>
    </row>
    <row r="6" spans="1:16" x14ac:dyDescent="0.2">
      <c r="A6" s="20">
        <v>2</v>
      </c>
      <c r="B6" s="3">
        <v>33</v>
      </c>
      <c r="D6" s="20">
        <v>2</v>
      </c>
      <c r="E6" s="3">
        <v>33</v>
      </c>
      <c r="G6">
        <f t="shared" ref="G6:G10" si="0">A6</f>
        <v>2</v>
      </c>
      <c r="H6" s="21">
        <f>B6/GETPIVOTDATA("#",$E$6,"Tipo","1. Tareas planeadas","Semana",2)</f>
        <v>1</v>
      </c>
      <c r="K6" s="5">
        <v>4</v>
      </c>
      <c r="L6" s="3">
        <v>48</v>
      </c>
      <c r="M6" s="3">
        <v>48</v>
      </c>
      <c r="N6" s="3">
        <v>0</v>
      </c>
      <c r="O6" s="3">
        <v>0</v>
      </c>
      <c r="P6" s="3">
        <v>96</v>
      </c>
    </row>
    <row r="7" spans="1:16" x14ac:dyDescent="0.2">
      <c r="A7" s="20">
        <v>3</v>
      </c>
      <c r="B7" s="3">
        <v>37</v>
      </c>
      <c r="D7" s="20">
        <v>3</v>
      </c>
      <c r="E7" s="3">
        <v>39</v>
      </c>
      <c r="G7">
        <f t="shared" si="0"/>
        <v>3</v>
      </c>
      <c r="H7" s="21">
        <f>B7/GETPIVOTDATA("#",$E$7,"Tipo","1. Tareas planeadas","Semana",3)</f>
        <v>0.94871794871794868</v>
      </c>
      <c r="K7" s="5">
        <v>5</v>
      </c>
      <c r="L7" s="3">
        <v>46</v>
      </c>
      <c r="M7" s="3">
        <v>45</v>
      </c>
      <c r="N7" s="3">
        <v>1</v>
      </c>
      <c r="O7" s="3">
        <v>0</v>
      </c>
      <c r="P7" s="3">
        <v>92</v>
      </c>
    </row>
    <row r="8" spans="1:16" x14ac:dyDescent="0.2">
      <c r="A8" s="20">
        <v>4</v>
      </c>
      <c r="B8" s="3">
        <v>48</v>
      </c>
      <c r="D8" s="20">
        <v>4</v>
      </c>
      <c r="E8" s="3">
        <v>48</v>
      </c>
      <c r="G8">
        <f t="shared" si="0"/>
        <v>4</v>
      </c>
      <c r="H8" s="21">
        <f>B8/GETPIVOTDATA("#",$E$8,"Tipo","1. Tareas planeadas","Semana",4)</f>
        <v>1</v>
      </c>
      <c r="K8" s="5">
        <v>6</v>
      </c>
      <c r="L8" s="3">
        <v>32</v>
      </c>
      <c r="M8" s="3">
        <v>18</v>
      </c>
      <c r="N8" s="3">
        <v>14</v>
      </c>
      <c r="O8" s="3">
        <v>0</v>
      </c>
      <c r="P8" s="3">
        <v>64</v>
      </c>
    </row>
    <row r="9" spans="1:16" x14ac:dyDescent="0.2">
      <c r="A9" s="20">
        <v>5</v>
      </c>
      <c r="B9" s="3">
        <v>45</v>
      </c>
      <c r="D9" s="20">
        <v>5</v>
      </c>
      <c r="E9" s="3">
        <v>46</v>
      </c>
      <c r="G9">
        <f t="shared" si="0"/>
        <v>5</v>
      </c>
      <c r="H9" s="21">
        <f>B9/GETPIVOTDATA("#",$E$9,"Tipo","1. Tareas planeadas","Semana",5)</f>
        <v>0.97826086956521741</v>
      </c>
      <c r="K9" s="5" t="s">
        <v>30</v>
      </c>
      <c r="L9" s="3">
        <v>216</v>
      </c>
      <c r="M9" s="3">
        <v>198</v>
      </c>
      <c r="N9" s="3">
        <v>18</v>
      </c>
      <c r="O9" s="3">
        <v>0</v>
      </c>
      <c r="P9" s="3">
        <v>432</v>
      </c>
    </row>
    <row r="10" spans="1:16" x14ac:dyDescent="0.2">
      <c r="A10" s="20">
        <v>6</v>
      </c>
      <c r="B10" s="3">
        <v>18</v>
      </c>
      <c r="D10" s="20">
        <v>6</v>
      </c>
      <c r="E10" s="3">
        <v>32</v>
      </c>
      <c r="G10">
        <f t="shared" si="0"/>
        <v>6</v>
      </c>
      <c r="H10" s="21">
        <f>B10/GETPIVOTDATA("#",$E$10,"Tipo","1. Tareas planeadas","Semana",6)</f>
        <v>0.5625</v>
      </c>
    </row>
    <row r="11" spans="1:16" x14ac:dyDescent="0.2">
      <c r="A11" s="5" t="s">
        <v>30</v>
      </c>
      <c r="B11" s="3">
        <v>198</v>
      </c>
      <c r="D11" s="5" t="s">
        <v>30</v>
      </c>
      <c r="E11" s="3">
        <v>216</v>
      </c>
      <c r="G11" t="s">
        <v>134</v>
      </c>
      <c r="H11" s="21">
        <f>B4/GETPIVOTDATA("#",$E$4,"Tipo","1. Tareas planeadas")</f>
        <v>0.91666666666666663</v>
      </c>
    </row>
    <row r="16" spans="1:16" x14ac:dyDescent="0.2">
      <c r="K16" s="4" t="s">
        <v>28</v>
      </c>
      <c r="L16" s="4" t="s">
        <v>31</v>
      </c>
    </row>
    <row r="17" spans="1:16" x14ac:dyDescent="0.2">
      <c r="K17" s="4" t="s">
        <v>29</v>
      </c>
      <c r="L17" t="s">
        <v>32</v>
      </c>
      <c r="M17" t="s">
        <v>33</v>
      </c>
      <c r="N17" t="s">
        <v>38</v>
      </c>
      <c r="O17" t="s">
        <v>39</v>
      </c>
      <c r="P17" t="s">
        <v>30</v>
      </c>
    </row>
    <row r="18" spans="1:16" x14ac:dyDescent="0.2">
      <c r="A18" s="4" t="s">
        <v>29</v>
      </c>
      <c r="B18" t="s">
        <v>28</v>
      </c>
      <c r="D18" s="4" t="s">
        <v>29</v>
      </c>
      <c r="E18" t="s">
        <v>28</v>
      </c>
      <c r="K18" s="5">
        <v>1</v>
      </c>
      <c r="L18" s="3">
        <v>18</v>
      </c>
      <c r="M18" s="3">
        <v>15</v>
      </c>
      <c r="N18" s="3">
        <v>3</v>
      </c>
      <c r="O18" s="3">
        <v>0</v>
      </c>
      <c r="P18" s="3">
        <v>36</v>
      </c>
    </row>
    <row r="19" spans="1:16" x14ac:dyDescent="0.2">
      <c r="A19" s="5" t="s">
        <v>33</v>
      </c>
      <c r="B19" s="3">
        <v>179</v>
      </c>
      <c r="D19" s="5" t="s">
        <v>32</v>
      </c>
      <c r="E19" s="3">
        <v>216</v>
      </c>
      <c r="G19" t="str">
        <f>A19</f>
        <v>2. Tareas cerradas</v>
      </c>
      <c r="K19" s="5">
        <v>2</v>
      </c>
      <c r="L19" s="3">
        <v>33</v>
      </c>
      <c r="M19" s="3">
        <v>31</v>
      </c>
      <c r="N19" s="3">
        <v>2</v>
      </c>
      <c r="O19" s="3">
        <v>0</v>
      </c>
      <c r="P19" s="3">
        <v>66</v>
      </c>
    </row>
    <row r="20" spans="1:16" x14ac:dyDescent="0.2">
      <c r="A20" s="20">
        <v>1</v>
      </c>
      <c r="B20" s="3">
        <v>15</v>
      </c>
      <c r="D20" s="20">
        <v>1</v>
      </c>
      <c r="E20" s="3">
        <v>18</v>
      </c>
      <c r="G20">
        <f>A20</f>
        <v>1</v>
      </c>
      <c r="H20" s="21">
        <f>B20/GETPIVOTDATA("#",$E$20,"Tipo","1. Tareas planeadas","Semana",1)</f>
        <v>0.83333333333333337</v>
      </c>
      <c r="K20" s="5">
        <v>3</v>
      </c>
      <c r="L20" s="3">
        <v>39</v>
      </c>
      <c r="M20" s="3">
        <v>32</v>
      </c>
      <c r="N20" s="3">
        <v>7</v>
      </c>
      <c r="O20" s="3">
        <v>0</v>
      </c>
      <c r="P20" s="3">
        <v>78</v>
      </c>
    </row>
    <row r="21" spans="1:16" x14ac:dyDescent="0.2">
      <c r="A21" s="20">
        <v>2</v>
      </c>
      <c r="B21" s="3">
        <v>31</v>
      </c>
      <c r="D21" s="20">
        <v>2</v>
      </c>
      <c r="E21" s="3">
        <v>33</v>
      </c>
      <c r="G21">
        <f t="shared" ref="G21:G25" si="1">A21</f>
        <v>2</v>
      </c>
      <c r="H21" s="21">
        <f>B21/GETPIVOTDATA("#",$E$21,"Tipo","1. Tareas planeadas","Semana",2)</f>
        <v>0.93939393939393945</v>
      </c>
      <c r="K21" s="5">
        <v>4</v>
      </c>
      <c r="L21" s="3">
        <v>48</v>
      </c>
      <c r="M21" s="3">
        <v>43</v>
      </c>
      <c r="N21" s="3">
        <v>5</v>
      </c>
      <c r="O21" s="3">
        <v>0</v>
      </c>
      <c r="P21" s="3">
        <v>96</v>
      </c>
    </row>
    <row r="22" spans="1:16" x14ac:dyDescent="0.2">
      <c r="A22" s="20">
        <v>3</v>
      </c>
      <c r="B22" s="3">
        <v>32</v>
      </c>
      <c r="D22" s="20">
        <v>3</v>
      </c>
      <c r="E22" s="3">
        <v>39</v>
      </c>
      <c r="G22">
        <f t="shared" si="1"/>
        <v>3</v>
      </c>
      <c r="H22" s="21">
        <f>B22/GETPIVOTDATA("#",$E$22,"Tipo","1. Tareas planeadas","Semana",3)</f>
        <v>0.82051282051282048</v>
      </c>
      <c r="K22" s="5">
        <v>5</v>
      </c>
      <c r="L22" s="3">
        <v>46</v>
      </c>
      <c r="M22" s="3">
        <v>40</v>
      </c>
      <c r="N22" s="3">
        <v>6</v>
      </c>
      <c r="O22" s="3">
        <v>0</v>
      </c>
      <c r="P22" s="3">
        <v>92</v>
      </c>
    </row>
    <row r="23" spans="1:16" x14ac:dyDescent="0.2">
      <c r="A23" s="20">
        <v>4</v>
      </c>
      <c r="B23" s="3">
        <v>43</v>
      </c>
      <c r="D23" s="20">
        <v>4</v>
      </c>
      <c r="E23" s="3">
        <v>48</v>
      </c>
      <c r="G23">
        <f t="shared" si="1"/>
        <v>4</v>
      </c>
      <c r="H23" s="21">
        <f>B23/GETPIVOTDATA("#",$E$23,"Tipo","1. Tareas planeadas","Semana",4)</f>
        <v>0.89583333333333337</v>
      </c>
      <c r="K23" s="5">
        <v>6</v>
      </c>
      <c r="L23" s="3">
        <v>32</v>
      </c>
      <c r="M23" s="3">
        <v>18</v>
      </c>
      <c r="N23" s="3">
        <v>14</v>
      </c>
      <c r="O23" s="3">
        <v>0</v>
      </c>
      <c r="P23" s="3">
        <v>64</v>
      </c>
    </row>
    <row r="24" spans="1:16" x14ac:dyDescent="0.2">
      <c r="A24" s="20">
        <v>5</v>
      </c>
      <c r="B24" s="3">
        <v>40</v>
      </c>
      <c r="D24" s="20">
        <v>5</v>
      </c>
      <c r="E24" s="3">
        <v>46</v>
      </c>
      <c r="G24">
        <f t="shared" si="1"/>
        <v>5</v>
      </c>
      <c r="H24" s="21">
        <f>B24/GETPIVOTDATA("#",$E$24,"Tipo","1. Tareas planeadas","Semana",5)</f>
        <v>0.86956521739130432</v>
      </c>
      <c r="K24" s="5" t="s">
        <v>30</v>
      </c>
      <c r="L24" s="3">
        <v>216</v>
      </c>
      <c r="M24" s="3">
        <v>179</v>
      </c>
      <c r="N24" s="3">
        <v>37</v>
      </c>
      <c r="O24" s="3">
        <v>0</v>
      </c>
      <c r="P24" s="3">
        <v>432</v>
      </c>
    </row>
    <row r="25" spans="1:16" x14ac:dyDescent="0.2">
      <c r="A25" s="20">
        <v>6</v>
      </c>
      <c r="B25" s="3">
        <v>18</v>
      </c>
      <c r="D25" s="20">
        <v>6</v>
      </c>
      <c r="E25" s="3">
        <v>32</v>
      </c>
      <c r="G25">
        <f t="shared" si="1"/>
        <v>6</v>
      </c>
      <c r="H25" s="21">
        <f>B25/GETPIVOTDATA("#",$E$25,"Tipo","1. Tareas planeadas","Semana",6)</f>
        <v>0.5625</v>
      </c>
    </row>
    <row r="26" spans="1:16" x14ac:dyDescent="0.2">
      <c r="A26" s="5" t="s">
        <v>30</v>
      </c>
      <c r="B26" s="3">
        <v>179</v>
      </c>
      <c r="D26" s="5" t="s">
        <v>30</v>
      </c>
      <c r="E26" s="3">
        <v>216</v>
      </c>
      <c r="G26" t="s">
        <v>134</v>
      </c>
      <c r="H26" s="21">
        <f>B19/GETPIVOTDATA("#",$E$19,"Tipo","1. Tareas planeadas")</f>
        <v>0.82870370370370372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B4F34-CC7E-4845-B315-5CDDFF85BD98}">
  <sheetPr codeName="Hoja3"/>
  <dimension ref="A1:L421"/>
  <sheetViews>
    <sheetView workbookViewId="0">
      <selection activeCell="E18" sqref="E18"/>
    </sheetView>
  </sheetViews>
  <sheetFormatPr baseColWidth="10" defaultRowHeight="16" x14ac:dyDescent="0.2"/>
  <cols>
    <col min="1" max="1" width="20.832031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H1" s="1"/>
      <c r="L1" s="6"/>
    </row>
    <row r="2" spans="1:12" x14ac:dyDescent="0.2">
      <c r="A2" t="s">
        <v>32</v>
      </c>
      <c r="B2" t="s">
        <v>41</v>
      </c>
      <c r="C2">
        <v>1</v>
      </c>
      <c r="D2">
        <v>2</v>
      </c>
      <c r="H2" s="2"/>
      <c r="L2" s="6"/>
    </row>
    <row r="3" spans="1:12" x14ac:dyDescent="0.2">
      <c r="A3" t="s">
        <v>33</v>
      </c>
      <c r="B3" t="s">
        <v>41</v>
      </c>
      <c r="C3">
        <v>1</v>
      </c>
      <c r="D3">
        <v>2</v>
      </c>
      <c r="H3" s="2"/>
    </row>
    <row r="4" spans="1:12" x14ac:dyDescent="0.2">
      <c r="A4" t="s">
        <v>34</v>
      </c>
      <c r="B4" t="s">
        <v>41</v>
      </c>
      <c r="C4">
        <v>1</v>
      </c>
      <c r="D4">
        <v>0</v>
      </c>
      <c r="G4" s="2"/>
      <c r="H4" s="2"/>
    </row>
    <row r="5" spans="1:12" x14ac:dyDescent="0.2">
      <c r="A5" t="s">
        <v>35</v>
      </c>
      <c r="B5" t="s">
        <v>41</v>
      </c>
      <c r="C5">
        <v>1</v>
      </c>
      <c r="D5">
        <v>0</v>
      </c>
      <c r="H5" s="2"/>
    </row>
    <row r="6" spans="1:12" x14ac:dyDescent="0.2">
      <c r="A6" t="s">
        <v>36</v>
      </c>
      <c r="B6" t="s">
        <v>41</v>
      </c>
      <c r="C6">
        <v>1</v>
      </c>
      <c r="D6">
        <v>2</v>
      </c>
      <c r="H6" s="2"/>
    </row>
    <row r="7" spans="1:12" x14ac:dyDescent="0.2">
      <c r="A7" t="s">
        <v>37</v>
      </c>
      <c r="B7" t="s">
        <v>41</v>
      </c>
      <c r="C7">
        <v>1</v>
      </c>
      <c r="D7">
        <v>0</v>
      </c>
      <c r="G7" s="2"/>
      <c r="H7" s="2"/>
    </row>
    <row r="8" spans="1:12" x14ac:dyDescent="0.2">
      <c r="A8" t="s">
        <v>38</v>
      </c>
      <c r="B8" t="s">
        <v>41</v>
      </c>
      <c r="C8">
        <v>1</v>
      </c>
      <c r="D8">
        <v>0</v>
      </c>
      <c r="H8" s="2"/>
    </row>
    <row r="9" spans="1:12" x14ac:dyDescent="0.2">
      <c r="A9" t="s">
        <v>39</v>
      </c>
      <c r="B9" t="s">
        <v>41</v>
      </c>
      <c r="C9">
        <v>1</v>
      </c>
      <c r="D9">
        <v>0</v>
      </c>
    </row>
    <row r="10" spans="1:12" x14ac:dyDescent="0.2">
      <c r="A10" t="s">
        <v>84</v>
      </c>
      <c r="B10" t="s">
        <v>41</v>
      </c>
      <c r="C10">
        <v>1</v>
      </c>
      <c r="D10" s="12">
        <v>8.3333333333333329E-2</v>
      </c>
    </row>
    <row r="11" spans="1:12" x14ac:dyDescent="0.2">
      <c r="A11" t="s">
        <v>85</v>
      </c>
      <c r="B11" t="s">
        <v>41</v>
      </c>
      <c r="C11">
        <v>1</v>
      </c>
      <c r="D11" s="12">
        <v>7.013888888888889E-2</v>
      </c>
    </row>
    <row r="12" spans="1:12" x14ac:dyDescent="0.2">
      <c r="A12" t="s">
        <v>32</v>
      </c>
      <c r="B12" t="s">
        <v>44</v>
      </c>
      <c r="C12">
        <v>1</v>
      </c>
      <c r="D12">
        <v>3</v>
      </c>
    </row>
    <row r="13" spans="1:12" x14ac:dyDescent="0.2">
      <c r="A13" t="s">
        <v>33</v>
      </c>
      <c r="B13" t="s">
        <v>44</v>
      </c>
      <c r="C13">
        <v>1</v>
      </c>
      <c r="D13">
        <v>3</v>
      </c>
    </row>
    <row r="14" spans="1:12" x14ac:dyDescent="0.2">
      <c r="A14" t="s">
        <v>34</v>
      </c>
      <c r="B14" t="s">
        <v>44</v>
      </c>
      <c r="C14">
        <v>1</v>
      </c>
      <c r="D14">
        <v>0</v>
      </c>
    </row>
    <row r="15" spans="1:12" x14ac:dyDescent="0.2">
      <c r="A15" t="s">
        <v>35</v>
      </c>
      <c r="B15" t="s">
        <v>44</v>
      </c>
      <c r="C15">
        <v>1</v>
      </c>
      <c r="D15">
        <v>0</v>
      </c>
    </row>
    <row r="16" spans="1:12" x14ac:dyDescent="0.2">
      <c r="A16" t="s">
        <v>36</v>
      </c>
      <c r="B16" t="s">
        <v>44</v>
      </c>
      <c r="C16">
        <v>1</v>
      </c>
      <c r="D16">
        <v>3</v>
      </c>
    </row>
    <row r="17" spans="1:4" x14ac:dyDescent="0.2">
      <c r="A17" t="s">
        <v>37</v>
      </c>
      <c r="B17" t="s">
        <v>44</v>
      </c>
      <c r="C17">
        <v>1</v>
      </c>
      <c r="D17">
        <v>3</v>
      </c>
    </row>
    <row r="18" spans="1:4" x14ac:dyDescent="0.2">
      <c r="A18" t="s">
        <v>38</v>
      </c>
      <c r="B18" t="s">
        <v>44</v>
      </c>
      <c r="C18">
        <v>1</v>
      </c>
      <c r="D18">
        <v>0</v>
      </c>
    </row>
    <row r="19" spans="1:4" x14ac:dyDescent="0.2">
      <c r="A19" t="s">
        <v>39</v>
      </c>
      <c r="B19" t="s">
        <v>44</v>
      </c>
      <c r="C19">
        <v>1</v>
      </c>
      <c r="D19">
        <v>0</v>
      </c>
    </row>
    <row r="20" spans="1:4" x14ac:dyDescent="0.2">
      <c r="A20" t="s">
        <v>84</v>
      </c>
      <c r="B20" t="s">
        <v>44</v>
      </c>
      <c r="C20">
        <v>1</v>
      </c>
      <c r="D20" s="12">
        <v>9.7222222222222224E-2</v>
      </c>
    </row>
    <row r="21" spans="1:4" x14ac:dyDescent="0.2">
      <c r="A21" t="s">
        <v>85</v>
      </c>
      <c r="B21" t="s">
        <v>44</v>
      </c>
      <c r="C21">
        <v>1</v>
      </c>
      <c r="D21" s="12">
        <v>0</v>
      </c>
    </row>
    <row r="22" spans="1:4" x14ac:dyDescent="0.2">
      <c r="A22" t="s">
        <v>32</v>
      </c>
      <c r="B22" t="s">
        <v>47</v>
      </c>
      <c r="C22">
        <v>1</v>
      </c>
      <c r="D22">
        <v>3</v>
      </c>
    </row>
    <row r="23" spans="1:4" x14ac:dyDescent="0.2">
      <c r="A23" t="s">
        <v>33</v>
      </c>
      <c r="B23" t="s">
        <v>47</v>
      </c>
      <c r="C23">
        <v>1</v>
      </c>
      <c r="D23">
        <v>3</v>
      </c>
    </row>
    <row r="24" spans="1:4" x14ac:dyDescent="0.2">
      <c r="A24" t="s">
        <v>34</v>
      </c>
      <c r="B24" t="s">
        <v>47</v>
      </c>
      <c r="C24">
        <v>1</v>
      </c>
      <c r="D24">
        <v>0</v>
      </c>
    </row>
    <row r="25" spans="1:4" x14ac:dyDescent="0.2">
      <c r="A25" t="s">
        <v>35</v>
      </c>
      <c r="B25" t="s">
        <v>47</v>
      </c>
      <c r="C25">
        <v>1</v>
      </c>
      <c r="D25">
        <v>0</v>
      </c>
    </row>
    <row r="26" spans="1:4" x14ac:dyDescent="0.2">
      <c r="A26" t="s">
        <v>36</v>
      </c>
      <c r="B26" t="s">
        <v>47</v>
      </c>
      <c r="C26">
        <v>1</v>
      </c>
      <c r="D26">
        <v>3</v>
      </c>
    </row>
    <row r="27" spans="1:4" x14ac:dyDescent="0.2">
      <c r="A27" t="s">
        <v>37</v>
      </c>
      <c r="B27" t="s">
        <v>47</v>
      </c>
      <c r="C27">
        <v>1</v>
      </c>
      <c r="D27">
        <v>3</v>
      </c>
    </row>
    <row r="28" spans="1:4" x14ac:dyDescent="0.2">
      <c r="A28" t="s">
        <v>38</v>
      </c>
      <c r="B28" t="s">
        <v>47</v>
      </c>
      <c r="C28">
        <v>1</v>
      </c>
      <c r="D28">
        <v>0</v>
      </c>
    </row>
    <row r="29" spans="1:4" x14ac:dyDescent="0.2">
      <c r="A29" t="s">
        <v>39</v>
      </c>
      <c r="B29" t="s">
        <v>47</v>
      </c>
      <c r="C29">
        <v>1</v>
      </c>
      <c r="D29">
        <v>0</v>
      </c>
    </row>
    <row r="30" spans="1:4" x14ac:dyDescent="0.2">
      <c r="A30" t="s">
        <v>84</v>
      </c>
      <c r="B30" t="s">
        <v>47</v>
      </c>
      <c r="C30">
        <v>1</v>
      </c>
      <c r="D30" s="12">
        <v>9.7222222222222224E-2</v>
      </c>
    </row>
    <row r="31" spans="1:4" x14ac:dyDescent="0.2">
      <c r="A31" t="s">
        <v>85</v>
      </c>
      <c r="B31" t="s">
        <v>47</v>
      </c>
      <c r="C31">
        <v>1</v>
      </c>
      <c r="D31" s="12">
        <v>0</v>
      </c>
    </row>
    <row r="32" spans="1:4" x14ac:dyDescent="0.2">
      <c r="A32" t="s">
        <v>32</v>
      </c>
      <c r="B32" t="s">
        <v>40</v>
      </c>
      <c r="C32">
        <v>1</v>
      </c>
      <c r="D32">
        <v>4</v>
      </c>
    </row>
    <row r="33" spans="1:4" x14ac:dyDescent="0.2">
      <c r="A33" t="s">
        <v>33</v>
      </c>
      <c r="B33" t="s">
        <v>40</v>
      </c>
      <c r="C33">
        <v>1</v>
      </c>
      <c r="D33">
        <v>3</v>
      </c>
    </row>
    <row r="34" spans="1:4" x14ac:dyDescent="0.2">
      <c r="A34" t="s">
        <v>34</v>
      </c>
      <c r="B34" t="s">
        <v>40</v>
      </c>
      <c r="C34">
        <v>1</v>
      </c>
      <c r="D34">
        <v>0</v>
      </c>
    </row>
    <row r="35" spans="1:4" x14ac:dyDescent="0.2">
      <c r="A35" t="s">
        <v>35</v>
      </c>
      <c r="B35" t="s">
        <v>40</v>
      </c>
      <c r="C35">
        <v>1</v>
      </c>
      <c r="D35">
        <v>0</v>
      </c>
    </row>
    <row r="36" spans="1:4" x14ac:dyDescent="0.2">
      <c r="A36" t="s">
        <v>36</v>
      </c>
      <c r="B36" t="s">
        <v>40</v>
      </c>
      <c r="C36">
        <v>1</v>
      </c>
      <c r="D36">
        <v>3</v>
      </c>
    </row>
    <row r="37" spans="1:4" x14ac:dyDescent="0.2">
      <c r="A37" t="s">
        <v>37</v>
      </c>
      <c r="B37" t="s">
        <v>40</v>
      </c>
      <c r="C37">
        <v>1</v>
      </c>
      <c r="D37">
        <v>0</v>
      </c>
    </row>
    <row r="38" spans="1:4" x14ac:dyDescent="0.2">
      <c r="A38" t="s">
        <v>38</v>
      </c>
      <c r="B38" t="s">
        <v>40</v>
      </c>
      <c r="C38">
        <v>1</v>
      </c>
      <c r="D38">
        <v>1</v>
      </c>
    </row>
    <row r="39" spans="1:4" x14ac:dyDescent="0.2">
      <c r="A39" t="s">
        <v>39</v>
      </c>
      <c r="B39" t="s">
        <v>40</v>
      </c>
      <c r="C39">
        <v>1</v>
      </c>
      <c r="D39">
        <v>0</v>
      </c>
    </row>
    <row r="40" spans="1:4" x14ac:dyDescent="0.2">
      <c r="A40" t="s">
        <v>84</v>
      </c>
      <c r="B40" t="s">
        <v>40</v>
      </c>
      <c r="C40">
        <v>1</v>
      </c>
      <c r="D40" s="12">
        <v>0.1111111111111111</v>
      </c>
    </row>
    <row r="41" spans="1:4" x14ac:dyDescent="0.2">
      <c r="A41" t="s">
        <v>85</v>
      </c>
      <c r="B41" t="s">
        <v>40</v>
      </c>
      <c r="C41">
        <v>1</v>
      </c>
      <c r="D41" s="12">
        <v>0.27083333333333331</v>
      </c>
    </row>
    <row r="42" spans="1:4" x14ac:dyDescent="0.2">
      <c r="A42" t="s">
        <v>32</v>
      </c>
      <c r="B42" t="s">
        <v>50</v>
      </c>
      <c r="C42">
        <v>1</v>
      </c>
      <c r="D42">
        <v>3</v>
      </c>
    </row>
    <row r="43" spans="1:4" x14ac:dyDescent="0.2">
      <c r="A43" t="s">
        <v>33</v>
      </c>
      <c r="B43" t="s">
        <v>50</v>
      </c>
      <c r="C43">
        <v>1</v>
      </c>
      <c r="D43">
        <v>3</v>
      </c>
    </row>
    <row r="44" spans="1:4" x14ac:dyDescent="0.2">
      <c r="A44" t="s">
        <v>34</v>
      </c>
      <c r="B44" t="s">
        <v>50</v>
      </c>
      <c r="C44">
        <v>1</v>
      </c>
      <c r="D44">
        <v>0</v>
      </c>
    </row>
    <row r="45" spans="1:4" x14ac:dyDescent="0.2">
      <c r="A45" t="s">
        <v>35</v>
      </c>
      <c r="B45" t="s">
        <v>50</v>
      </c>
      <c r="C45">
        <v>1</v>
      </c>
      <c r="D45">
        <v>0</v>
      </c>
    </row>
    <row r="46" spans="1:4" x14ac:dyDescent="0.2">
      <c r="A46" t="s">
        <v>36</v>
      </c>
      <c r="B46" t="s">
        <v>50</v>
      </c>
      <c r="C46">
        <v>1</v>
      </c>
      <c r="D46">
        <v>3</v>
      </c>
    </row>
    <row r="47" spans="1:4" x14ac:dyDescent="0.2">
      <c r="A47" t="s">
        <v>37</v>
      </c>
      <c r="B47" t="s">
        <v>50</v>
      </c>
      <c r="C47">
        <v>1</v>
      </c>
      <c r="D47">
        <v>3</v>
      </c>
    </row>
    <row r="48" spans="1:4" x14ac:dyDescent="0.2">
      <c r="A48" t="s">
        <v>38</v>
      </c>
      <c r="B48" t="s">
        <v>50</v>
      </c>
      <c r="C48">
        <v>1</v>
      </c>
      <c r="D48">
        <v>0</v>
      </c>
    </row>
    <row r="49" spans="1:4" x14ac:dyDescent="0.2">
      <c r="A49" t="s">
        <v>39</v>
      </c>
      <c r="B49" t="s">
        <v>50</v>
      </c>
      <c r="C49">
        <v>1</v>
      </c>
      <c r="D49">
        <v>0</v>
      </c>
    </row>
    <row r="50" spans="1:4" x14ac:dyDescent="0.2">
      <c r="A50" t="s">
        <v>84</v>
      </c>
      <c r="B50" t="s">
        <v>50</v>
      </c>
      <c r="C50">
        <v>1</v>
      </c>
      <c r="D50" s="12">
        <v>9.7222222222222224E-2</v>
      </c>
    </row>
    <row r="51" spans="1:4" x14ac:dyDescent="0.2">
      <c r="A51" t="s">
        <v>85</v>
      </c>
      <c r="B51" t="s">
        <v>50</v>
      </c>
      <c r="C51">
        <v>1</v>
      </c>
      <c r="D51" s="12">
        <v>0</v>
      </c>
    </row>
    <row r="52" spans="1:4" x14ac:dyDescent="0.2">
      <c r="A52" t="s">
        <v>32</v>
      </c>
      <c r="B52" t="s">
        <v>53</v>
      </c>
      <c r="C52">
        <v>1</v>
      </c>
      <c r="D52">
        <v>3</v>
      </c>
    </row>
    <row r="53" spans="1:4" x14ac:dyDescent="0.2">
      <c r="A53" t="s">
        <v>33</v>
      </c>
      <c r="B53" t="s">
        <v>53</v>
      </c>
      <c r="C53">
        <v>1</v>
      </c>
      <c r="D53">
        <v>3</v>
      </c>
    </row>
    <row r="54" spans="1:4" x14ac:dyDescent="0.2">
      <c r="A54" t="s">
        <v>34</v>
      </c>
      <c r="B54" t="s">
        <v>53</v>
      </c>
      <c r="C54">
        <v>1</v>
      </c>
      <c r="D54">
        <v>0</v>
      </c>
    </row>
    <row r="55" spans="1:4" x14ac:dyDescent="0.2">
      <c r="A55" t="s">
        <v>35</v>
      </c>
      <c r="B55" t="s">
        <v>53</v>
      </c>
      <c r="C55">
        <v>1</v>
      </c>
      <c r="D55">
        <v>0</v>
      </c>
    </row>
    <row r="56" spans="1:4" x14ac:dyDescent="0.2">
      <c r="A56" t="s">
        <v>36</v>
      </c>
      <c r="B56" t="s">
        <v>53</v>
      </c>
      <c r="C56">
        <v>1</v>
      </c>
      <c r="D56">
        <v>3</v>
      </c>
    </row>
    <row r="57" spans="1:4" x14ac:dyDescent="0.2">
      <c r="A57" t="s">
        <v>37</v>
      </c>
      <c r="B57" t="s">
        <v>53</v>
      </c>
      <c r="C57">
        <v>1</v>
      </c>
      <c r="D57">
        <v>0</v>
      </c>
    </row>
    <row r="58" spans="1:4" x14ac:dyDescent="0.2">
      <c r="A58" t="s">
        <v>38</v>
      </c>
      <c r="B58" t="s">
        <v>53</v>
      </c>
      <c r="C58">
        <v>1</v>
      </c>
      <c r="D58">
        <v>0</v>
      </c>
    </row>
    <row r="59" spans="1:4" x14ac:dyDescent="0.2">
      <c r="A59" t="s">
        <v>39</v>
      </c>
      <c r="B59" t="s">
        <v>53</v>
      </c>
      <c r="C59">
        <v>1</v>
      </c>
      <c r="D59">
        <v>0</v>
      </c>
    </row>
    <row r="60" spans="1:4" x14ac:dyDescent="0.2">
      <c r="A60" t="s">
        <v>84</v>
      </c>
      <c r="B60" t="s">
        <v>53</v>
      </c>
      <c r="C60">
        <v>1</v>
      </c>
      <c r="D60" s="12">
        <v>9.7222222222222224E-2</v>
      </c>
    </row>
    <row r="61" spans="1:4" x14ac:dyDescent="0.2">
      <c r="A61" t="s">
        <v>85</v>
      </c>
      <c r="B61" t="s">
        <v>53</v>
      </c>
      <c r="C61">
        <v>1</v>
      </c>
      <c r="D61" s="12">
        <v>0.10416666666666667</v>
      </c>
    </row>
    <row r="62" spans="1:4" x14ac:dyDescent="0.2">
      <c r="A62" t="s">
        <v>32</v>
      </c>
      <c r="B62" t="s">
        <v>83</v>
      </c>
      <c r="C62">
        <v>1</v>
      </c>
      <c r="D62">
        <v>0</v>
      </c>
    </row>
    <row r="63" spans="1:4" x14ac:dyDescent="0.2">
      <c r="A63" t="s">
        <v>33</v>
      </c>
      <c r="B63" t="s">
        <v>83</v>
      </c>
      <c r="C63">
        <v>1</v>
      </c>
      <c r="D63">
        <v>0</v>
      </c>
    </row>
    <row r="64" spans="1:4" x14ac:dyDescent="0.2">
      <c r="A64" t="s">
        <v>34</v>
      </c>
      <c r="B64" t="s">
        <v>83</v>
      </c>
      <c r="C64">
        <v>1</v>
      </c>
      <c r="D64">
        <v>0</v>
      </c>
    </row>
    <row r="65" spans="1:4" x14ac:dyDescent="0.2">
      <c r="A65" t="s">
        <v>35</v>
      </c>
      <c r="B65" t="s">
        <v>83</v>
      </c>
      <c r="C65">
        <v>1</v>
      </c>
      <c r="D65">
        <v>0</v>
      </c>
    </row>
    <row r="66" spans="1:4" x14ac:dyDescent="0.2">
      <c r="A66" t="s">
        <v>36</v>
      </c>
      <c r="B66" t="s">
        <v>83</v>
      </c>
      <c r="C66">
        <v>1</v>
      </c>
      <c r="D66">
        <v>0</v>
      </c>
    </row>
    <row r="67" spans="1:4" x14ac:dyDescent="0.2">
      <c r="A67" t="s">
        <v>37</v>
      </c>
      <c r="B67" t="s">
        <v>83</v>
      </c>
      <c r="C67">
        <v>1</v>
      </c>
      <c r="D67">
        <v>0</v>
      </c>
    </row>
    <row r="68" spans="1:4" x14ac:dyDescent="0.2">
      <c r="A68" t="s">
        <v>38</v>
      </c>
      <c r="B68" t="s">
        <v>83</v>
      </c>
      <c r="C68">
        <v>1</v>
      </c>
      <c r="D68">
        <v>0</v>
      </c>
    </row>
    <row r="69" spans="1:4" x14ac:dyDescent="0.2">
      <c r="A69" t="s">
        <v>39</v>
      </c>
      <c r="B69" t="s">
        <v>83</v>
      </c>
      <c r="C69">
        <v>1</v>
      </c>
      <c r="D69">
        <v>0</v>
      </c>
    </row>
    <row r="70" spans="1:4" x14ac:dyDescent="0.2">
      <c r="A70" t="s">
        <v>84</v>
      </c>
      <c r="B70" t="s">
        <v>83</v>
      </c>
      <c r="C70">
        <v>1</v>
      </c>
      <c r="D70" s="12">
        <v>0</v>
      </c>
    </row>
    <row r="71" spans="1:4" x14ac:dyDescent="0.2">
      <c r="A71" t="s">
        <v>85</v>
      </c>
      <c r="B71" t="s">
        <v>83</v>
      </c>
      <c r="C71">
        <v>1</v>
      </c>
      <c r="D71" s="12">
        <v>0</v>
      </c>
    </row>
    <row r="72" spans="1:4" x14ac:dyDescent="0.2">
      <c r="A72" t="s">
        <v>32</v>
      </c>
      <c r="B72" t="s">
        <v>41</v>
      </c>
      <c r="C72">
        <v>2</v>
      </c>
      <c r="D72">
        <v>5</v>
      </c>
    </row>
    <row r="73" spans="1:4" x14ac:dyDescent="0.2">
      <c r="A73" t="s">
        <v>33</v>
      </c>
      <c r="B73" t="s">
        <v>41</v>
      </c>
      <c r="C73">
        <v>2</v>
      </c>
      <c r="D73">
        <v>5</v>
      </c>
    </row>
    <row r="74" spans="1:4" x14ac:dyDescent="0.2">
      <c r="A74" t="s">
        <v>34</v>
      </c>
      <c r="B74" t="s">
        <v>41</v>
      </c>
      <c r="C74">
        <v>2</v>
      </c>
      <c r="D74">
        <v>0</v>
      </c>
    </row>
    <row r="75" spans="1:4" x14ac:dyDescent="0.2">
      <c r="A75" t="s">
        <v>35</v>
      </c>
      <c r="B75" t="s">
        <v>41</v>
      </c>
      <c r="C75">
        <v>2</v>
      </c>
      <c r="D75">
        <v>4</v>
      </c>
    </row>
    <row r="76" spans="1:4" x14ac:dyDescent="0.2">
      <c r="A76" t="s">
        <v>36</v>
      </c>
      <c r="B76" t="s">
        <v>41</v>
      </c>
      <c r="C76">
        <v>2</v>
      </c>
      <c r="D76">
        <v>1</v>
      </c>
    </row>
    <row r="77" spans="1:4" x14ac:dyDescent="0.2">
      <c r="A77" t="s">
        <v>37</v>
      </c>
      <c r="B77" t="s">
        <v>41</v>
      </c>
      <c r="C77">
        <v>2</v>
      </c>
      <c r="D77">
        <v>0</v>
      </c>
    </row>
    <row r="78" spans="1:4" x14ac:dyDescent="0.2">
      <c r="A78" t="s">
        <v>38</v>
      </c>
      <c r="B78" t="s">
        <v>41</v>
      </c>
      <c r="C78">
        <v>2</v>
      </c>
      <c r="D78">
        <v>0</v>
      </c>
    </row>
    <row r="79" spans="1:4" x14ac:dyDescent="0.2">
      <c r="A79" t="s">
        <v>39</v>
      </c>
      <c r="B79" t="s">
        <v>41</v>
      </c>
      <c r="C79">
        <v>2</v>
      </c>
      <c r="D79">
        <v>0</v>
      </c>
    </row>
    <row r="80" spans="1:4" x14ac:dyDescent="0.2">
      <c r="A80" t="s">
        <v>84</v>
      </c>
      <c r="B80" t="s">
        <v>41</v>
      </c>
      <c r="C80">
        <v>2</v>
      </c>
      <c r="D80" s="12">
        <v>6.8749999999999992E-2</v>
      </c>
    </row>
    <row r="81" spans="1:4" x14ac:dyDescent="0.2">
      <c r="A81" t="s">
        <v>85</v>
      </c>
      <c r="B81" t="s">
        <v>41</v>
      </c>
      <c r="C81">
        <v>2</v>
      </c>
      <c r="D81" s="12">
        <v>7.7083333333333337E-2</v>
      </c>
    </row>
    <row r="82" spans="1:4" x14ac:dyDescent="0.2">
      <c r="A82" t="s">
        <v>32</v>
      </c>
      <c r="B82" t="s">
        <v>44</v>
      </c>
      <c r="C82">
        <v>2</v>
      </c>
      <c r="D82">
        <v>5</v>
      </c>
    </row>
    <row r="83" spans="1:4" x14ac:dyDescent="0.2">
      <c r="A83" t="s">
        <v>33</v>
      </c>
      <c r="B83" t="s">
        <v>44</v>
      </c>
      <c r="C83">
        <v>2</v>
      </c>
      <c r="D83">
        <v>5</v>
      </c>
    </row>
    <row r="84" spans="1:4" x14ac:dyDescent="0.2">
      <c r="A84" t="s">
        <v>34</v>
      </c>
      <c r="B84" t="s">
        <v>44</v>
      </c>
      <c r="C84">
        <v>2</v>
      </c>
      <c r="D84">
        <v>0</v>
      </c>
    </row>
    <row r="85" spans="1:4" x14ac:dyDescent="0.2">
      <c r="A85" t="s">
        <v>35</v>
      </c>
      <c r="B85" t="s">
        <v>44</v>
      </c>
      <c r="C85">
        <v>2</v>
      </c>
      <c r="D85">
        <v>4</v>
      </c>
    </row>
    <row r="86" spans="1:4" x14ac:dyDescent="0.2">
      <c r="A86" t="s">
        <v>36</v>
      </c>
      <c r="B86" t="s">
        <v>44</v>
      </c>
      <c r="C86">
        <v>2</v>
      </c>
      <c r="D86">
        <v>1</v>
      </c>
    </row>
    <row r="87" spans="1:4" x14ac:dyDescent="0.2">
      <c r="A87" t="s">
        <v>37</v>
      </c>
      <c r="B87" t="s">
        <v>44</v>
      </c>
      <c r="C87">
        <v>2</v>
      </c>
      <c r="D87">
        <v>2</v>
      </c>
    </row>
    <row r="88" spans="1:4" x14ac:dyDescent="0.2">
      <c r="A88" t="s">
        <v>38</v>
      </c>
      <c r="B88" t="s">
        <v>44</v>
      </c>
      <c r="C88">
        <v>2</v>
      </c>
      <c r="D88">
        <v>0</v>
      </c>
    </row>
    <row r="89" spans="1:4" x14ac:dyDescent="0.2">
      <c r="A89" t="s">
        <v>39</v>
      </c>
      <c r="B89" t="s">
        <v>44</v>
      </c>
      <c r="C89">
        <v>2</v>
      </c>
      <c r="D89">
        <v>0</v>
      </c>
    </row>
    <row r="90" spans="1:4" x14ac:dyDescent="0.2">
      <c r="A90" t="s">
        <v>84</v>
      </c>
      <c r="B90" t="s">
        <v>44</v>
      </c>
      <c r="C90">
        <v>2</v>
      </c>
      <c r="D90" s="12">
        <v>6.8749999999999992E-2</v>
      </c>
    </row>
    <row r="91" spans="1:4" x14ac:dyDescent="0.2">
      <c r="A91" t="s">
        <v>85</v>
      </c>
      <c r="B91" t="s">
        <v>44</v>
      </c>
      <c r="C91">
        <v>2</v>
      </c>
      <c r="D91" s="12">
        <v>3.5416666666666666E-2</v>
      </c>
    </row>
    <row r="92" spans="1:4" x14ac:dyDescent="0.2">
      <c r="A92" t="s">
        <v>32</v>
      </c>
      <c r="B92" t="s">
        <v>47</v>
      </c>
      <c r="C92">
        <v>2</v>
      </c>
      <c r="D92">
        <v>5</v>
      </c>
    </row>
    <row r="93" spans="1:4" x14ac:dyDescent="0.2">
      <c r="A93" t="s">
        <v>33</v>
      </c>
      <c r="B93" t="s">
        <v>47</v>
      </c>
      <c r="C93">
        <v>2</v>
      </c>
      <c r="D93">
        <v>5</v>
      </c>
    </row>
    <row r="94" spans="1:4" x14ac:dyDescent="0.2">
      <c r="A94" t="s">
        <v>34</v>
      </c>
      <c r="B94" t="s">
        <v>47</v>
      </c>
      <c r="C94">
        <v>2</v>
      </c>
      <c r="D94">
        <v>0</v>
      </c>
    </row>
    <row r="95" spans="1:4" x14ac:dyDescent="0.2">
      <c r="A95" t="s">
        <v>35</v>
      </c>
      <c r="B95" t="s">
        <v>47</v>
      </c>
      <c r="C95">
        <v>2</v>
      </c>
      <c r="D95">
        <v>4</v>
      </c>
    </row>
    <row r="96" spans="1:4" x14ac:dyDescent="0.2">
      <c r="A96" t="s">
        <v>36</v>
      </c>
      <c r="B96" t="s">
        <v>47</v>
      </c>
      <c r="C96">
        <v>2</v>
      </c>
      <c r="D96">
        <v>1</v>
      </c>
    </row>
    <row r="97" spans="1:4" x14ac:dyDescent="0.2">
      <c r="A97" t="s">
        <v>37</v>
      </c>
      <c r="B97" t="s">
        <v>47</v>
      </c>
      <c r="C97">
        <v>2</v>
      </c>
      <c r="D97">
        <v>0</v>
      </c>
    </row>
    <row r="98" spans="1:4" x14ac:dyDescent="0.2">
      <c r="A98" t="s">
        <v>38</v>
      </c>
      <c r="B98" t="s">
        <v>47</v>
      </c>
      <c r="C98">
        <v>2</v>
      </c>
      <c r="D98">
        <v>0</v>
      </c>
    </row>
    <row r="99" spans="1:4" x14ac:dyDescent="0.2">
      <c r="A99" t="s">
        <v>39</v>
      </c>
      <c r="B99" t="s">
        <v>47</v>
      </c>
      <c r="C99">
        <v>2</v>
      </c>
      <c r="D99">
        <v>0</v>
      </c>
    </row>
    <row r="100" spans="1:4" x14ac:dyDescent="0.2">
      <c r="A100" t="s">
        <v>84</v>
      </c>
      <c r="B100" t="s">
        <v>47</v>
      </c>
      <c r="C100">
        <v>2</v>
      </c>
      <c r="D100" s="12">
        <v>6.8749999999999992E-2</v>
      </c>
    </row>
    <row r="101" spans="1:4" x14ac:dyDescent="0.2">
      <c r="A101" t="s">
        <v>85</v>
      </c>
      <c r="B101" t="s">
        <v>47</v>
      </c>
      <c r="C101">
        <v>2</v>
      </c>
      <c r="D101" s="12">
        <v>5.6250000000000001E-2</v>
      </c>
    </row>
    <row r="102" spans="1:4" x14ac:dyDescent="0.2">
      <c r="A102" t="s">
        <v>32</v>
      </c>
      <c r="B102" t="s">
        <v>40</v>
      </c>
      <c r="C102">
        <v>2</v>
      </c>
      <c r="D102">
        <v>5</v>
      </c>
    </row>
    <row r="103" spans="1:4" x14ac:dyDescent="0.2">
      <c r="A103" t="s">
        <v>33</v>
      </c>
      <c r="B103" t="s">
        <v>40</v>
      </c>
      <c r="C103">
        <v>2</v>
      </c>
      <c r="D103">
        <v>5</v>
      </c>
    </row>
    <row r="104" spans="1:4" x14ac:dyDescent="0.2">
      <c r="A104" t="s">
        <v>34</v>
      </c>
      <c r="B104" t="s">
        <v>40</v>
      </c>
      <c r="C104">
        <v>2</v>
      </c>
      <c r="D104">
        <v>0</v>
      </c>
    </row>
    <row r="105" spans="1:4" x14ac:dyDescent="0.2">
      <c r="A105" t="s">
        <v>35</v>
      </c>
      <c r="B105" t="s">
        <v>40</v>
      </c>
      <c r="C105">
        <v>2</v>
      </c>
      <c r="D105">
        <v>2</v>
      </c>
    </row>
    <row r="106" spans="1:4" x14ac:dyDescent="0.2">
      <c r="A106" t="s">
        <v>36</v>
      </c>
      <c r="B106" t="s">
        <v>40</v>
      </c>
      <c r="C106">
        <v>2</v>
      </c>
      <c r="D106">
        <v>3</v>
      </c>
    </row>
    <row r="107" spans="1:4" x14ac:dyDescent="0.2">
      <c r="A107" t="s">
        <v>37</v>
      </c>
      <c r="B107" t="s">
        <v>40</v>
      </c>
      <c r="C107">
        <v>2</v>
      </c>
      <c r="D107">
        <v>0</v>
      </c>
    </row>
    <row r="108" spans="1:4" x14ac:dyDescent="0.2">
      <c r="A108" t="s">
        <v>38</v>
      </c>
      <c r="B108" t="s">
        <v>40</v>
      </c>
      <c r="C108">
        <v>2</v>
      </c>
      <c r="D108">
        <v>0</v>
      </c>
    </row>
    <row r="109" spans="1:4" x14ac:dyDescent="0.2">
      <c r="A109" t="s">
        <v>39</v>
      </c>
      <c r="B109" t="s">
        <v>40</v>
      </c>
      <c r="C109">
        <v>2</v>
      </c>
      <c r="D109">
        <v>0</v>
      </c>
    </row>
    <row r="110" spans="1:4" x14ac:dyDescent="0.2">
      <c r="A110" t="s">
        <v>84</v>
      </c>
      <c r="B110" t="s">
        <v>40</v>
      </c>
      <c r="C110">
        <v>2</v>
      </c>
      <c r="D110" s="12">
        <v>6.8749999999999992E-2</v>
      </c>
    </row>
    <row r="111" spans="1:4" x14ac:dyDescent="0.2">
      <c r="A111" t="s">
        <v>85</v>
      </c>
      <c r="B111" t="s">
        <v>40</v>
      </c>
      <c r="C111">
        <v>2</v>
      </c>
      <c r="D111" s="12">
        <v>0.20208333333333331</v>
      </c>
    </row>
    <row r="112" spans="1:4" x14ac:dyDescent="0.2">
      <c r="A112" t="s">
        <v>32</v>
      </c>
      <c r="B112" t="s">
        <v>50</v>
      </c>
      <c r="C112">
        <v>2</v>
      </c>
      <c r="D112">
        <v>5</v>
      </c>
    </row>
    <row r="113" spans="1:4" x14ac:dyDescent="0.2">
      <c r="A113" t="s">
        <v>33</v>
      </c>
      <c r="B113" t="s">
        <v>50</v>
      </c>
      <c r="C113">
        <v>2</v>
      </c>
      <c r="D113">
        <v>5</v>
      </c>
    </row>
    <row r="114" spans="1:4" x14ac:dyDescent="0.2">
      <c r="A114" t="s">
        <v>34</v>
      </c>
      <c r="B114" t="s">
        <v>50</v>
      </c>
      <c r="C114">
        <v>2</v>
      </c>
      <c r="D114">
        <v>0</v>
      </c>
    </row>
    <row r="115" spans="1:4" x14ac:dyDescent="0.2">
      <c r="A115" t="s">
        <v>35</v>
      </c>
      <c r="B115" t="s">
        <v>50</v>
      </c>
      <c r="C115">
        <v>2</v>
      </c>
      <c r="D115">
        <v>4</v>
      </c>
    </row>
    <row r="116" spans="1:4" x14ac:dyDescent="0.2">
      <c r="A116" t="s">
        <v>36</v>
      </c>
      <c r="B116" t="s">
        <v>50</v>
      </c>
      <c r="C116">
        <v>2</v>
      </c>
      <c r="D116">
        <v>1</v>
      </c>
    </row>
    <row r="117" spans="1:4" x14ac:dyDescent="0.2">
      <c r="A117" t="s">
        <v>37</v>
      </c>
      <c r="B117" t="s">
        <v>50</v>
      </c>
      <c r="C117">
        <v>2</v>
      </c>
      <c r="D117">
        <v>2</v>
      </c>
    </row>
    <row r="118" spans="1:4" x14ac:dyDescent="0.2">
      <c r="A118" t="s">
        <v>38</v>
      </c>
      <c r="B118" t="s">
        <v>50</v>
      </c>
      <c r="C118">
        <v>2</v>
      </c>
      <c r="D118">
        <v>0</v>
      </c>
    </row>
    <row r="119" spans="1:4" x14ac:dyDescent="0.2">
      <c r="A119" t="s">
        <v>39</v>
      </c>
      <c r="B119" t="s">
        <v>50</v>
      </c>
      <c r="C119">
        <v>2</v>
      </c>
      <c r="D119">
        <v>0</v>
      </c>
    </row>
    <row r="120" spans="1:4" x14ac:dyDescent="0.2">
      <c r="A120" t="s">
        <v>84</v>
      </c>
      <c r="B120" t="s">
        <v>50</v>
      </c>
      <c r="C120">
        <v>2</v>
      </c>
      <c r="D120" s="12">
        <v>6.8749999999999992E-2</v>
      </c>
    </row>
    <row r="121" spans="1:4" x14ac:dyDescent="0.2">
      <c r="A121" t="s">
        <v>85</v>
      </c>
      <c r="B121" t="s">
        <v>50</v>
      </c>
      <c r="C121">
        <v>2</v>
      </c>
      <c r="D121" s="12">
        <v>3.5416666666666666E-2</v>
      </c>
    </row>
    <row r="122" spans="1:4" x14ac:dyDescent="0.2">
      <c r="A122" t="s">
        <v>32</v>
      </c>
      <c r="B122" t="s">
        <v>53</v>
      </c>
      <c r="C122">
        <v>2</v>
      </c>
      <c r="D122">
        <v>5</v>
      </c>
    </row>
    <row r="123" spans="1:4" x14ac:dyDescent="0.2">
      <c r="A123" t="s">
        <v>33</v>
      </c>
      <c r="B123" t="s">
        <v>53</v>
      </c>
      <c r="C123">
        <v>2</v>
      </c>
      <c r="D123">
        <v>5</v>
      </c>
    </row>
    <row r="124" spans="1:4" x14ac:dyDescent="0.2">
      <c r="A124" t="s">
        <v>34</v>
      </c>
      <c r="B124" t="s">
        <v>53</v>
      </c>
      <c r="C124">
        <v>2</v>
      </c>
      <c r="D124">
        <v>0</v>
      </c>
    </row>
    <row r="125" spans="1:4" x14ac:dyDescent="0.2">
      <c r="A125" t="s">
        <v>35</v>
      </c>
      <c r="B125" t="s">
        <v>53</v>
      </c>
      <c r="C125">
        <v>2</v>
      </c>
      <c r="D125">
        <v>4</v>
      </c>
    </row>
    <row r="126" spans="1:4" x14ac:dyDescent="0.2">
      <c r="A126" t="s">
        <v>36</v>
      </c>
      <c r="B126" t="s">
        <v>53</v>
      </c>
      <c r="C126">
        <v>2</v>
      </c>
      <c r="D126">
        <v>1</v>
      </c>
    </row>
    <row r="127" spans="1:4" x14ac:dyDescent="0.2">
      <c r="A127" t="s">
        <v>37</v>
      </c>
      <c r="B127" t="s">
        <v>53</v>
      </c>
      <c r="C127">
        <v>2</v>
      </c>
      <c r="D127">
        <v>1</v>
      </c>
    </row>
    <row r="128" spans="1:4" x14ac:dyDescent="0.2">
      <c r="A128" t="s">
        <v>38</v>
      </c>
      <c r="B128" t="s">
        <v>53</v>
      </c>
      <c r="C128">
        <v>2</v>
      </c>
      <c r="D128">
        <v>0</v>
      </c>
    </row>
    <row r="129" spans="1:4" x14ac:dyDescent="0.2">
      <c r="A129" t="s">
        <v>39</v>
      </c>
      <c r="B129" t="s">
        <v>53</v>
      </c>
      <c r="C129">
        <v>2</v>
      </c>
      <c r="D129">
        <v>0</v>
      </c>
    </row>
    <row r="130" spans="1:4" x14ac:dyDescent="0.2">
      <c r="A130" t="s">
        <v>84</v>
      </c>
      <c r="B130" t="s">
        <v>53</v>
      </c>
      <c r="C130">
        <v>2</v>
      </c>
      <c r="D130" s="12">
        <v>6.8749999999999992E-2</v>
      </c>
    </row>
    <row r="131" spans="1:4" x14ac:dyDescent="0.2">
      <c r="A131" t="s">
        <v>85</v>
      </c>
      <c r="B131" t="s">
        <v>53</v>
      </c>
      <c r="C131">
        <v>2</v>
      </c>
      <c r="D131" s="12">
        <v>9.7916666666666666E-2</v>
      </c>
    </row>
    <row r="132" spans="1:4" x14ac:dyDescent="0.2">
      <c r="A132" t="s">
        <v>32</v>
      </c>
      <c r="B132" t="s">
        <v>83</v>
      </c>
      <c r="C132">
        <v>2</v>
      </c>
      <c r="D132">
        <v>3</v>
      </c>
    </row>
    <row r="133" spans="1:4" x14ac:dyDescent="0.2">
      <c r="A133" t="s">
        <v>33</v>
      </c>
      <c r="B133" t="s">
        <v>83</v>
      </c>
      <c r="C133">
        <v>2</v>
      </c>
      <c r="D133">
        <v>3</v>
      </c>
    </row>
    <row r="134" spans="1:4" x14ac:dyDescent="0.2">
      <c r="A134" t="s">
        <v>34</v>
      </c>
      <c r="B134" t="s">
        <v>83</v>
      </c>
      <c r="C134">
        <v>2</v>
      </c>
      <c r="D134">
        <v>0</v>
      </c>
    </row>
    <row r="135" spans="1:4" x14ac:dyDescent="0.2">
      <c r="A135" t="s">
        <v>35</v>
      </c>
      <c r="B135" t="s">
        <v>83</v>
      </c>
      <c r="C135">
        <v>2</v>
      </c>
      <c r="D135">
        <v>2</v>
      </c>
    </row>
    <row r="136" spans="1:4" x14ac:dyDescent="0.2">
      <c r="A136" t="s">
        <v>36</v>
      </c>
      <c r="B136" t="s">
        <v>83</v>
      </c>
      <c r="C136">
        <v>2</v>
      </c>
      <c r="D136">
        <v>1</v>
      </c>
    </row>
    <row r="137" spans="1:4" x14ac:dyDescent="0.2">
      <c r="A137" t="s">
        <v>37</v>
      </c>
      <c r="B137" t="s">
        <v>83</v>
      </c>
      <c r="C137">
        <v>2</v>
      </c>
      <c r="D137">
        <v>0</v>
      </c>
    </row>
    <row r="138" spans="1:4" x14ac:dyDescent="0.2">
      <c r="A138" t="s">
        <v>38</v>
      </c>
      <c r="B138" t="s">
        <v>83</v>
      </c>
      <c r="C138">
        <v>2</v>
      </c>
      <c r="D138">
        <v>0</v>
      </c>
    </row>
    <row r="139" spans="1:4" x14ac:dyDescent="0.2">
      <c r="A139" t="s">
        <v>39</v>
      </c>
      <c r="B139" t="s">
        <v>83</v>
      </c>
      <c r="C139">
        <v>2</v>
      </c>
      <c r="D139">
        <v>0</v>
      </c>
    </row>
    <row r="140" spans="1:4" x14ac:dyDescent="0.2">
      <c r="A140" t="s">
        <v>84</v>
      </c>
      <c r="B140" t="s">
        <v>83</v>
      </c>
      <c r="C140">
        <v>2</v>
      </c>
      <c r="D140" s="12">
        <v>4.7916666666666663E-2</v>
      </c>
    </row>
    <row r="141" spans="1:4" x14ac:dyDescent="0.2">
      <c r="A141" t="s">
        <v>85</v>
      </c>
      <c r="B141" t="s">
        <v>83</v>
      </c>
      <c r="C141">
        <v>2</v>
      </c>
      <c r="D141" s="12">
        <v>3.5416666666666666E-2</v>
      </c>
    </row>
    <row r="142" spans="1:4" x14ac:dyDescent="0.2">
      <c r="A142" t="s">
        <v>32</v>
      </c>
      <c r="B142" t="s">
        <v>41</v>
      </c>
      <c r="C142">
        <v>3</v>
      </c>
      <c r="D142">
        <v>6</v>
      </c>
    </row>
    <row r="143" spans="1:4" x14ac:dyDescent="0.2">
      <c r="A143" t="s">
        <v>33</v>
      </c>
      <c r="B143" t="s">
        <v>41</v>
      </c>
      <c r="C143">
        <v>3</v>
      </c>
      <c r="D143">
        <v>5</v>
      </c>
    </row>
    <row r="144" spans="1:4" x14ac:dyDescent="0.2">
      <c r="A144" t="s">
        <v>34</v>
      </c>
      <c r="B144" t="s">
        <v>41</v>
      </c>
      <c r="C144">
        <v>3</v>
      </c>
      <c r="D144">
        <v>0</v>
      </c>
    </row>
    <row r="145" spans="1:4" x14ac:dyDescent="0.2">
      <c r="A145" t="s">
        <v>35</v>
      </c>
      <c r="B145" t="s">
        <v>41</v>
      </c>
      <c r="C145">
        <v>3</v>
      </c>
      <c r="D145">
        <v>2</v>
      </c>
    </row>
    <row r="146" spans="1:4" x14ac:dyDescent="0.2">
      <c r="A146" t="s">
        <v>36</v>
      </c>
      <c r="B146" t="s">
        <v>41</v>
      </c>
      <c r="C146">
        <v>3</v>
      </c>
      <c r="D146">
        <v>3</v>
      </c>
    </row>
    <row r="147" spans="1:4" x14ac:dyDescent="0.2">
      <c r="A147" t="s">
        <v>37</v>
      </c>
      <c r="B147" t="s">
        <v>41</v>
      </c>
      <c r="C147">
        <v>3</v>
      </c>
      <c r="D147">
        <v>0</v>
      </c>
    </row>
    <row r="148" spans="1:4" x14ac:dyDescent="0.2">
      <c r="A148" t="s">
        <v>38</v>
      </c>
      <c r="B148" t="s">
        <v>41</v>
      </c>
      <c r="C148">
        <v>3</v>
      </c>
      <c r="D148">
        <v>1</v>
      </c>
    </row>
    <row r="149" spans="1:4" x14ac:dyDescent="0.2">
      <c r="A149" t="s">
        <v>39</v>
      </c>
      <c r="B149" t="s">
        <v>41</v>
      </c>
      <c r="C149">
        <v>3</v>
      </c>
      <c r="D149">
        <v>0</v>
      </c>
    </row>
    <row r="150" spans="1:4" x14ac:dyDescent="0.2">
      <c r="A150" t="s">
        <v>84</v>
      </c>
      <c r="B150" t="s">
        <v>41</v>
      </c>
      <c r="C150">
        <v>3</v>
      </c>
      <c r="D150" s="12">
        <v>0.12291666666666667</v>
      </c>
    </row>
    <row r="151" spans="1:4" x14ac:dyDescent="0.2">
      <c r="A151" t="s">
        <v>85</v>
      </c>
      <c r="B151" t="s">
        <v>41</v>
      </c>
      <c r="C151">
        <v>3</v>
      </c>
      <c r="D151" s="12">
        <v>0.27430555555555552</v>
      </c>
    </row>
    <row r="152" spans="1:4" x14ac:dyDescent="0.2">
      <c r="A152" t="s">
        <v>32</v>
      </c>
      <c r="B152" t="s">
        <v>44</v>
      </c>
      <c r="C152">
        <v>3</v>
      </c>
      <c r="D152">
        <v>6</v>
      </c>
    </row>
    <row r="153" spans="1:4" x14ac:dyDescent="0.2">
      <c r="A153" t="s">
        <v>33</v>
      </c>
      <c r="B153" t="s">
        <v>44</v>
      </c>
      <c r="C153">
        <v>3</v>
      </c>
      <c r="D153">
        <v>6</v>
      </c>
    </row>
    <row r="154" spans="1:4" x14ac:dyDescent="0.2">
      <c r="A154" t="s">
        <v>34</v>
      </c>
      <c r="B154" t="s">
        <v>44</v>
      </c>
      <c r="C154">
        <v>3</v>
      </c>
      <c r="D154">
        <v>0</v>
      </c>
    </row>
    <row r="155" spans="1:4" x14ac:dyDescent="0.2">
      <c r="A155" t="s">
        <v>35</v>
      </c>
      <c r="B155" t="s">
        <v>44</v>
      </c>
      <c r="C155">
        <v>3</v>
      </c>
      <c r="D155">
        <v>1</v>
      </c>
    </row>
    <row r="156" spans="1:4" x14ac:dyDescent="0.2">
      <c r="A156" t="s">
        <v>36</v>
      </c>
      <c r="B156" t="s">
        <v>44</v>
      </c>
      <c r="C156">
        <v>3</v>
      </c>
      <c r="D156">
        <v>5</v>
      </c>
    </row>
    <row r="157" spans="1:4" x14ac:dyDescent="0.2">
      <c r="A157" t="s">
        <v>37</v>
      </c>
      <c r="B157" t="s">
        <v>44</v>
      </c>
      <c r="C157">
        <v>3</v>
      </c>
      <c r="D157">
        <v>0</v>
      </c>
    </row>
    <row r="158" spans="1:4" x14ac:dyDescent="0.2">
      <c r="A158" t="s">
        <v>38</v>
      </c>
      <c r="B158" t="s">
        <v>44</v>
      </c>
      <c r="C158">
        <v>3</v>
      </c>
      <c r="D158">
        <v>0</v>
      </c>
    </row>
    <row r="159" spans="1:4" x14ac:dyDescent="0.2">
      <c r="A159" t="s">
        <v>39</v>
      </c>
      <c r="B159" t="s">
        <v>44</v>
      </c>
      <c r="C159">
        <v>3</v>
      </c>
      <c r="D159">
        <v>0</v>
      </c>
    </row>
    <row r="160" spans="1:4" x14ac:dyDescent="0.2">
      <c r="A160" t="s">
        <v>84</v>
      </c>
      <c r="B160" t="s">
        <v>44</v>
      </c>
      <c r="C160">
        <v>3</v>
      </c>
      <c r="D160" s="12">
        <v>0.12291666666666667</v>
      </c>
    </row>
    <row r="161" spans="1:4" x14ac:dyDescent="0.2">
      <c r="A161" t="s">
        <v>85</v>
      </c>
      <c r="B161" t="s">
        <v>44</v>
      </c>
      <c r="C161">
        <v>3</v>
      </c>
      <c r="D161" s="12">
        <v>0.23194444444444443</v>
      </c>
    </row>
    <row r="162" spans="1:4" x14ac:dyDescent="0.2">
      <c r="A162" t="s">
        <v>32</v>
      </c>
      <c r="B162" t="s">
        <v>47</v>
      </c>
      <c r="C162">
        <v>3</v>
      </c>
      <c r="D162">
        <v>7</v>
      </c>
    </row>
    <row r="163" spans="1:4" x14ac:dyDescent="0.2">
      <c r="A163" t="s">
        <v>33</v>
      </c>
      <c r="B163" t="s">
        <v>47</v>
      </c>
      <c r="C163">
        <v>3</v>
      </c>
      <c r="D163">
        <v>7</v>
      </c>
    </row>
    <row r="164" spans="1:4" x14ac:dyDescent="0.2">
      <c r="A164" t="s">
        <v>34</v>
      </c>
      <c r="B164" t="s">
        <v>47</v>
      </c>
      <c r="C164">
        <v>3</v>
      </c>
      <c r="D164">
        <v>0</v>
      </c>
    </row>
    <row r="165" spans="1:4" x14ac:dyDescent="0.2">
      <c r="A165" t="s">
        <v>35</v>
      </c>
      <c r="B165" t="s">
        <v>47</v>
      </c>
      <c r="C165">
        <v>3</v>
      </c>
      <c r="D165">
        <v>2</v>
      </c>
    </row>
    <row r="166" spans="1:4" x14ac:dyDescent="0.2">
      <c r="A166" t="s">
        <v>36</v>
      </c>
      <c r="B166" t="s">
        <v>47</v>
      </c>
      <c r="C166">
        <v>3</v>
      </c>
      <c r="D166">
        <v>5</v>
      </c>
    </row>
    <row r="167" spans="1:4" x14ac:dyDescent="0.2">
      <c r="A167" t="s">
        <v>37</v>
      </c>
      <c r="B167" t="s">
        <v>47</v>
      </c>
      <c r="C167">
        <v>3</v>
      </c>
      <c r="D167">
        <v>0</v>
      </c>
    </row>
    <row r="168" spans="1:4" x14ac:dyDescent="0.2">
      <c r="A168" t="s">
        <v>38</v>
      </c>
      <c r="B168" t="s">
        <v>47</v>
      </c>
      <c r="C168">
        <v>3</v>
      </c>
      <c r="D168">
        <v>0</v>
      </c>
    </row>
    <row r="169" spans="1:4" x14ac:dyDescent="0.2">
      <c r="A169" t="s">
        <v>39</v>
      </c>
      <c r="B169" t="s">
        <v>47</v>
      </c>
      <c r="C169">
        <v>3</v>
      </c>
      <c r="D169">
        <v>0</v>
      </c>
    </row>
    <row r="170" spans="1:4" x14ac:dyDescent="0.2">
      <c r="A170" t="s">
        <v>84</v>
      </c>
      <c r="B170" t="s">
        <v>47</v>
      </c>
      <c r="C170">
        <v>3</v>
      </c>
      <c r="D170" s="12">
        <v>0.14375000000000002</v>
      </c>
    </row>
    <row r="171" spans="1:4" x14ac:dyDescent="0.2">
      <c r="A171" t="s">
        <v>85</v>
      </c>
      <c r="B171" t="s">
        <v>47</v>
      </c>
      <c r="C171">
        <v>3</v>
      </c>
      <c r="D171" s="12">
        <v>0.16458333333333333</v>
      </c>
    </row>
    <row r="172" spans="1:4" x14ac:dyDescent="0.2">
      <c r="A172" t="s">
        <v>32</v>
      </c>
      <c r="B172" t="s">
        <v>40</v>
      </c>
      <c r="C172">
        <v>3</v>
      </c>
      <c r="D172">
        <v>6</v>
      </c>
    </row>
    <row r="173" spans="1:4" x14ac:dyDescent="0.2">
      <c r="A173" t="s">
        <v>33</v>
      </c>
      <c r="B173" t="s">
        <v>40</v>
      </c>
      <c r="C173">
        <v>3</v>
      </c>
      <c r="D173">
        <v>6</v>
      </c>
    </row>
    <row r="174" spans="1:4" x14ac:dyDescent="0.2">
      <c r="A174" t="s">
        <v>34</v>
      </c>
      <c r="B174" t="s">
        <v>40</v>
      </c>
      <c r="C174">
        <v>3</v>
      </c>
      <c r="D174">
        <v>0</v>
      </c>
    </row>
    <row r="175" spans="1:4" x14ac:dyDescent="0.2">
      <c r="A175" t="s">
        <v>35</v>
      </c>
      <c r="B175" t="s">
        <v>40</v>
      </c>
      <c r="C175">
        <v>3</v>
      </c>
      <c r="D175">
        <v>1</v>
      </c>
    </row>
    <row r="176" spans="1:4" x14ac:dyDescent="0.2">
      <c r="A176" t="s">
        <v>36</v>
      </c>
      <c r="B176" t="s">
        <v>40</v>
      </c>
      <c r="C176">
        <v>3</v>
      </c>
      <c r="D176">
        <v>5</v>
      </c>
    </row>
    <row r="177" spans="1:4" x14ac:dyDescent="0.2">
      <c r="A177" t="s">
        <v>37</v>
      </c>
      <c r="B177" t="s">
        <v>40</v>
      </c>
      <c r="C177">
        <v>3</v>
      </c>
      <c r="D177">
        <v>0</v>
      </c>
    </row>
    <row r="178" spans="1:4" x14ac:dyDescent="0.2">
      <c r="A178" t="s">
        <v>38</v>
      </c>
      <c r="B178" t="s">
        <v>40</v>
      </c>
      <c r="C178">
        <v>3</v>
      </c>
      <c r="D178">
        <v>0</v>
      </c>
    </row>
    <row r="179" spans="1:4" x14ac:dyDescent="0.2">
      <c r="A179" t="s">
        <v>39</v>
      </c>
      <c r="B179" t="s">
        <v>40</v>
      </c>
      <c r="C179">
        <v>3</v>
      </c>
      <c r="D179">
        <v>0</v>
      </c>
    </row>
    <row r="180" spans="1:4" x14ac:dyDescent="0.2">
      <c r="A180" t="s">
        <v>84</v>
      </c>
      <c r="B180" t="s">
        <v>40</v>
      </c>
      <c r="C180">
        <v>3</v>
      </c>
      <c r="D180" s="12">
        <v>0.12291666666666667</v>
      </c>
    </row>
    <row r="181" spans="1:4" x14ac:dyDescent="0.2">
      <c r="A181" t="s">
        <v>85</v>
      </c>
      <c r="B181" t="s">
        <v>40</v>
      </c>
      <c r="C181">
        <v>3</v>
      </c>
      <c r="D181" s="12">
        <v>0.28125</v>
      </c>
    </row>
    <row r="182" spans="1:4" x14ac:dyDescent="0.2">
      <c r="A182" t="s">
        <v>32</v>
      </c>
      <c r="B182" t="s">
        <v>50</v>
      </c>
      <c r="C182">
        <v>3</v>
      </c>
      <c r="D182">
        <v>6</v>
      </c>
    </row>
    <row r="183" spans="1:4" x14ac:dyDescent="0.2">
      <c r="A183" t="s">
        <v>33</v>
      </c>
      <c r="B183" t="s">
        <v>50</v>
      </c>
      <c r="C183">
        <v>3</v>
      </c>
      <c r="D183">
        <v>5</v>
      </c>
    </row>
    <row r="184" spans="1:4" x14ac:dyDescent="0.2">
      <c r="A184" t="s">
        <v>34</v>
      </c>
      <c r="B184" t="s">
        <v>50</v>
      </c>
      <c r="C184">
        <v>3</v>
      </c>
      <c r="D184">
        <v>0</v>
      </c>
    </row>
    <row r="185" spans="1:4" x14ac:dyDescent="0.2">
      <c r="A185" t="s">
        <v>35</v>
      </c>
      <c r="B185" t="s">
        <v>50</v>
      </c>
      <c r="C185">
        <v>3</v>
      </c>
      <c r="D185">
        <v>2</v>
      </c>
    </row>
    <row r="186" spans="1:4" x14ac:dyDescent="0.2">
      <c r="A186" t="s">
        <v>36</v>
      </c>
      <c r="B186" t="s">
        <v>50</v>
      </c>
      <c r="C186">
        <v>3</v>
      </c>
      <c r="D186">
        <v>3</v>
      </c>
    </row>
    <row r="187" spans="1:4" x14ac:dyDescent="0.2">
      <c r="A187" t="s">
        <v>37</v>
      </c>
      <c r="B187" t="s">
        <v>50</v>
      </c>
      <c r="C187">
        <v>3</v>
      </c>
      <c r="D187">
        <v>2</v>
      </c>
    </row>
    <row r="188" spans="1:4" x14ac:dyDescent="0.2">
      <c r="A188" t="s">
        <v>38</v>
      </c>
      <c r="B188" t="s">
        <v>50</v>
      </c>
      <c r="C188">
        <v>3</v>
      </c>
      <c r="D188">
        <v>1</v>
      </c>
    </row>
    <row r="189" spans="1:4" x14ac:dyDescent="0.2">
      <c r="A189" t="s">
        <v>39</v>
      </c>
      <c r="B189" t="s">
        <v>50</v>
      </c>
      <c r="C189">
        <v>3</v>
      </c>
      <c r="D189">
        <v>0</v>
      </c>
    </row>
    <row r="190" spans="1:4" x14ac:dyDescent="0.2">
      <c r="A190" t="s">
        <v>84</v>
      </c>
      <c r="B190" t="s">
        <v>50</v>
      </c>
      <c r="C190">
        <v>3</v>
      </c>
      <c r="D190" s="12">
        <v>0.12291666666666667</v>
      </c>
    </row>
    <row r="191" spans="1:4" x14ac:dyDescent="0.2">
      <c r="A191" t="s">
        <v>85</v>
      </c>
      <c r="B191" t="s">
        <v>50</v>
      </c>
      <c r="C191">
        <v>3</v>
      </c>
      <c r="D191" s="12">
        <v>6.9444444444444434E-2</v>
      </c>
    </row>
    <row r="192" spans="1:4" x14ac:dyDescent="0.2">
      <c r="A192" t="s">
        <v>32</v>
      </c>
      <c r="B192" t="s">
        <v>53</v>
      </c>
      <c r="C192">
        <v>3</v>
      </c>
      <c r="D192">
        <v>6</v>
      </c>
    </row>
    <row r="193" spans="1:4" x14ac:dyDescent="0.2">
      <c r="A193" t="s">
        <v>33</v>
      </c>
      <c r="B193" t="s">
        <v>53</v>
      </c>
      <c r="C193">
        <v>3</v>
      </c>
      <c r="D193">
        <v>6</v>
      </c>
    </row>
    <row r="194" spans="1:4" x14ac:dyDescent="0.2">
      <c r="A194" t="s">
        <v>34</v>
      </c>
      <c r="B194" t="s">
        <v>53</v>
      </c>
      <c r="C194">
        <v>3</v>
      </c>
      <c r="D194">
        <v>0</v>
      </c>
    </row>
    <row r="195" spans="1:4" x14ac:dyDescent="0.2">
      <c r="A195" t="s">
        <v>35</v>
      </c>
      <c r="B195" t="s">
        <v>53</v>
      </c>
      <c r="C195">
        <v>3</v>
      </c>
      <c r="D195">
        <v>3</v>
      </c>
    </row>
    <row r="196" spans="1:4" x14ac:dyDescent="0.2">
      <c r="A196" t="s">
        <v>36</v>
      </c>
      <c r="B196" t="s">
        <v>53</v>
      </c>
      <c r="C196">
        <v>3</v>
      </c>
      <c r="D196">
        <v>3</v>
      </c>
    </row>
    <row r="197" spans="1:4" x14ac:dyDescent="0.2">
      <c r="A197" t="s">
        <v>37</v>
      </c>
      <c r="B197" t="s">
        <v>53</v>
      </c>
      <c r="C197">
        <v>3</v>
      </c>
      <c r="D197">
        <v>0</v>
      </c>
    </row>
    <row r="198" spans="1:4" x14ac:dyDescent="0.2">
      <c r="A198" t="s">
        <v>38</v>
      </c>
      <c r="B198" t="s">
        <v>53</v>
      </c>
      <c r="C198">
        <v>3</v>
      </c>
      <c r="D198">
        <v>0</v>
      </c>
    </row>
    <row r="199" spans="1:4" x14ac:dyDescent="0.2">
      <c r="A199" t="s">
        <v>39</v>
      </c>
      <c r="B199" t="s">
        <v>53</v>
      </c>
      <c r="C199">
        <v>3</v>
      </c>
      <c r="D199">
        <v>0</v>
      </c>
    </row>
    <row r="200" spans="1:4" x14ac:dyDescent="0.2">
      <c r="A200" t="s">
        <v>84</v>
      </c>
      <c r="B200" t="s">
        <v>53</v>
      </c>
      <c r="C200">
        <v>3</v>
      </c>
      <c r="D200" s="12">
        <v>0.12291666666666667</v>
      </c>
    </row>
    <row r="201" spans="1:4" x14ac:dyDescent="0.2">
      <c r="A201" t="s">
        <v>85</v>
      </c>
      <c r="B201" t="s">
        <v>53</v>
      </c>
      <c r="C201">
        <v>3</v>
      </c>
      <c r="D201" s="12">
        <v>0.6118055555555556</v>
      </c>
    </row>
    <row r="202" spans="1:4" x14ac:dyDescent="0.2">
      <c r="A202" t="s">
        <v>32</v>
      </c>
      <c r="B202" t="s">
        <v>83</v>
      </c>
      <c r="C202">
        <v>3</v>
      </c>
      <c r="D202">
        <v>2</v>
      </c>
    </row>
    <row r="203" spans="1:4" x14ac:dyDescent="0.2">
      <c r="A203" t="s">
        <v>33</v>
      </c>
      <c r="B203" t="s">
        <v>83</v>
      </c>
      <c r="C203">
        <v>3</v>
      </c>
      <c r="D203">
        <v>2</v>
      </c>
    </row>
    <row r="204" spans="1:4" x14ac:dyDescent="0.2">
      <c r="A204" t="s">
        <v>34</v>
      </c>
      <c r="B204" t="s">
        <v>83</v>
      </c>
      <c r="C204">
        <v>3</v>
      </c>
      <c r="D204">
        <v>0</v>
      </c>
    </row>
    <row r="205" spans="1:4" x14ac:dyDescent="0.2">
      <c r="A205" t="s">
        <v>35</v>
      </c>
      <c r="B205" t="s">
        <v>83</v>
      </c>
      <c r="C205">
        <v>3</v>
      </c>
      <c r="D205">
        <v>0</v>
      </c>
    </row>
    <row r="206" spans="1:4" x14ac:dyDescent="0.2">
      <c r="A206" t="s">
        <v>36</v>
      </c>
      <c r="B206" t="s">
        <v>83</v>
      </c>
      <c r="C206">
        <v>3</v>
      </c>
      <c r="D206">
        <v>2</v>
      </c>
    </row>
    <row r="207" spans="1:4" x14ac:dyDescent="0.2">
      <c r="A207" t="s">
        <v>37</v>
      </c>
      <c r="B207" t="s">
        <v>83</v>
      </c>
      <c r="C207">
        <v>3</v>
      </c>
      <c r="D207">
        <v>0</v>
      </c>
    </row>
    <row r="208" spans="1:4" x14ac:dyDescent="0.2">
      <c r="A208" t="s">
        <v>38</v>
      </c>
      <c r="B208" t="s">
        <v>83</v>
      </c>
      <c r="C208">
        <v>3</v>
      </c>
      <c r="D208">
        <v>0</v>
      </c>
    </row>
    <row r="209" spans="1:4" x14ac:dyDescent="0.2">
      <c r="A209" t="s">
        <v>39</v>
      </c>
      <c r="B209" t="s">
        <v>83</v>
      </c>
      <c r="C209">
        <v>3</v>
      </c>
      <c r="D209">
        <v>0</v>
      </c>
    </row>
    <row r="210" spans="1:4" x14ac:dyDescent="0.2">
      <c r="A210" t="s">
        <v>84</v>
      </c>
      <c r="B210" t="s">
        <v>83</v>
      </c>
      <c r="C210">
        <v>3</v>
      </c>
      <c r="D210" s="12">
        <v>4.8611111111111112E-3</v>
      </c>
    </row>
    <row r="211" spans="1:4" x14ac:dyDescent="0.2">
      <c r="A211" t="s">
        <v>85</v>
      </c>
      <c r="B211" t="s">
        <v>83</v>
      </c>
      <c r="C211">
        <v>3</v>
      </c>
      <c r="D211" s="12">
        <v>1.0416666666666666E-2</v>
      </c>
    </row>
    <row r="212" spans="1:4" x14ac:dyDescent="0.2">
      <c r="A212" t="s">
        <v>32</v>
      </c>
      <c r="B212" t="s">
        <v>41</v>
      </c>
      <c r="C212">
        <v>4</v>
      </c>
      <c r="D212">
        <v>7</v>
      </c>
    </row>
    <row r="213" spans="1:4" x14ac:dyDescent="0.2">
      <c r="A213" t="s">
        <v>33</v>
      </c>
      <c r="B213" t="s">
        <v>41</v>
      </c>
      <c r="C213">
        <v>4</v>
      </c>
      <c r="D213">
        <v>7</v>
      </c>
    </row>
    <row r="214" spans="1:4" x14ac:dyDescent="0.2">
      <c r="A214" t="s">
        <v>34</v>
      </c>
      <c r="B214" t="s">
        <v>41</v>
      </c>
      <c r="C214">
        <v>4</v>
      </c>
      <c r="D214">
        <v>0</v>
      </c>
    </row>
    <row r="215" spans="1:4" x14ac:dyDescent="0.2">
      <c r="A215" t="s">
        <v>35</v>
      </c>
      <c r="B215" t="s">
        <v>41</v>
      </c>
      <c r="C215">
        <v>4</v>
      </c>
      <c r="D215">
        <v>5</v>
      </c>
    </row>
    <row r="216" spans="1:4" x14ac:dyDescent="0.2">
      <c r="A216" t="s">
        <v>36</v>
      </c>
      <c r="B216" t="s">
        <v>41</v>
      </c>
      <c r="C216">
        <v>4</v>
      </c>
      <c r="D216">
        <v>2</v>
      </c>
    </row>
    <row r="217" spans="1:4" x14ac:dyDescent="0.2">
      <c r="A217" t="s">
        <v>37</v>
      </c>
      <c r="B217" t="s">
        <v>41</v>
      </c>
      <c r="C217">
        <v>4</v>
      </c>
      <c r="D217">
        <v>1</v>
      </c>
    </row>
    <row r="218" spans="1:4" x14ac:dyDescent="0.2">
      <c r="A218" t="s">
        <v>38</v>
      </c>
      <c r="B218" t="s">
        <v>41</v>
      </c>
      <c r="C218">
        <v>4</v>
      </c>
      <c r="D218">
        <v>0</v>
      </c>
    </row>
    <row r="219" spans="1:4" x14ac:dyDescent="0.2">
      <c r="A219" t="s">
        <v>39</v>
      </c>
      <c r="B219" t="s">
        <v>41</v>
      </c>
      <c r="C219">
        <v>4</v>
      </c>
      <c r="D219">
        <v>0</v>
      </c>
    </row>
    <row r="220" spans="1:4" x14ac:dyDescent="0.2">
      <c r="A220" t="s">
        <v>84</v>
      </c>
      <c r="B220" t="s">
        <v>41</v>
      </c>
      <c r="C220">
        <v>4</v>
      </c>
      <c r="D220" s="12">
        <v>0.25763888888888892</v>
      </c>
    </row>
    <row r="221" spans="1:4" x14ac:dyDescent="0.2">
      <c r="A221" t="s">
        <v>85</v>
      </c>
      <c r="B221" t="s">
        <v>41</v>
      </c>
      <c r="C221">
        <v>4</v>
      </c>
      <c r="D221" s="12">
        <v>0.30555555555555552</v>
      </c>
    </row>
    <row r="222" spans="1:4" x14ac:dyDescent="0.2">
      <c r="A222" t="s">
        <v>32</v>
      </c>
      <c r="B222" t="s">
        <v>44</v>
      </c>
      <c r="C222">
        <v>4</v>
      </c>
      <c r="D222">
        <v>7</v>
      </c>
    </row>
    <row r="223" spans="1:4" x14ac:dyDescent="0.2">
      <c r="A223" t="s">
        <v>33</v>
      </c>
      <c r="B223" t="s">
        <v>44</v>
      </c>
      <c r="C223">
        <v>4</v>
      </c>
      <c r="D223">
        <v>7</v>
      </c>
    </row>
    <row r="224" spans="1:4" x14ac:dyDescent="0.2">
      <c r="A224" t="s">
        <v>34</v>
      </c>
      <c r="B224" t="s">
        <v>44</v>
      </c>
      <c r="C224">
        <v>4</v>
      </c>
      <c r="D224">
        <v>0</v>
      </c>
    </row>
    <row r="225" spans="1:4" x14ac:dyDescent="0.2">
      <c r="A225" t="s">
        <v>35</v>
      </c>
      <c r="B225" t="s">
        <v>44</v>
      </c>
      <c r="C225">
        <v>4</v>
      </c>
      <c r="D225">
        <v>5</v>
      </c>
    </row>
    <row r="226" spans="1:4" x14ac:dyDescent="0.2">
      <c r="A226" t="s">
        <v>36</v>
      </c>
      <c r="B226" t="s">
        <v>44</v>
      </c>
      <c r="C226">
        <v>4</v>
      </c>
      <c r="D226">
        <v>2</v>
      </c>
    </row>
    <row r="227" spans="1:4" x14ac:dyDescent="0.2">
      <c r="A227" t="s">
        <v>37</v>
      </c>
      <c r="B227" t="s">
        <v>44</v>
      </c>
      <c r="C227">
        <v>4</v>
      </c>
      <c r="D227">
        <v>0</v>
      </c>
    </row>
    <row r="228" spans="1:4" x14ac:dyDescent="0.2">
      <c r="A228" t="s">
        <v>38</v>
      </c>
      <c r="B228" t="s">
        <v>44</v>
      </c>
      <c r="C228">
        <v>4</v>
      </c>
      <c r="D228">
        <v>0</v>
      </c>
    </row>
    <row r="229" spans="1:4" x14ac:dyDescent="0.2">
      <c r="A229" t="s">
        <v>39</v>
      </c>
      <c r="B229" t="s">
        <v>44</v>
      </c>
      <c r="C229">
        <v>4</v>
      </c>
      <c r="D229">
        <v>0</v>
      </c>
    </row>
    <row r="230" spans="1:4" x14ac:dyDescent="0.2">
      <c r="A230" t="s">
        <v>84</v>
      </c>
      <c r="B230" t="s">
        <v>44</v>
      </c>
      <c r="C230">
        <v>4</v>
      </c>
      <c r="D230" s="12">
        <v>0.25763888888888892</v>
      </c>
    </row>
    <row r="231" spans="1:4" x14ac:dyDescent="0.2">
      <c r="A231" t="s">
        <v>85</v>
      </c>
      <c r="B231" t="s">
        <v>44</v>
      </c>
      <c r="C231">
        <v>4</v>
      </c>
      <c r="D231" s="12">
        <v>0.22361111111111109</v>
      </c>
    </row>
    <row r="232" spans="1:4" x14ac:dyDescent="0.2">
      <c r="A232" t="s">
        <v>32</v>
      </c>
      <c r="B232" t="s">
        <v>47</v>
      </c>
      <c r="C232">
        <v>4</v>
      </c>
      <c r="D232">
        <v>9</v>
      </c>
    </row>
    <row r="233" spans="1:4" x14ac:dyDescent="0.2">
      <c r="A233" t="s">
        <v>33</v>
      </c>
      <c r="B233" t="s">
        <v>47</v>
      </c>
      <c r="C233">
        <v>4</v>
      </c>
      <c r="D233">
        <v>9</v>
      </c>
    </row>
    <row r="234" spans="1:4" x14ac:dyDescent="0.2">
      <c r="A234" t="s">
        <v>34</v>
      </c>
      <c r="B234" t="s">
        <v>47</v>
      </c>
      <c r="C234">
        <v>4</v>
      </c>
      <c r="D234">
        <v>0</v>
      </c>
    </row>
    <row r="235" spans="1:4" x14ac:dyDescent="0.2">
      <c r="A235" t="s">
        <v>35</v>
      </c>
      <c r="B235" t="s">
        <v>47</v>
      </c>
      <c r="C235">
        <v>4</v>
      </c>
      <c r="D235">
        <v>6</v>
      </c>
    </row>
    <row r="236" spans="1:4" x14ac:dyDescent="0.2">
      <c r="A236" t="s">
        <v>36</v>
      </c>
      <c r="B236" t="s">
        <v>47</v>
      </c>
      <c r="C236">
        <v>4</v>
      </c>
      <c r="D236">
        <v>3</v>
      </c>
    </row>
    <row r="237" spans="1:4" x14ac:dyDescent="0.2">
      <c r="A237" t="s">
        <v>37</v>
      </c>
      <c r="B237" t="s">
        <v>47</v>
      </c>
      <c r="C237">
        <v>4</v>
      </c>
      <c r="D237">
        <v>0</v>
      </c>
    </row>
    <row r="238" spans="1:4" x14ac:dyDescent="0.2">
      <c r="A238" t="s">
        <v>38</v>
      </c>
      <c r="B238" t="s">
        <v>47</v>
      </c>
      <c r="C238">
        <v>4</v>
      </c>
      <c r="D238">
        <v>0</v>
      </c>
    </row>
    <row r="239" spans="1:4" x14ac:dyDescent="0.2">
      <c r="A239" t="s">
        <v>39</v>
      </c>
      <c r="B239" t="s">
        <v>47</v>
      </c>
      <c r="C239">
        <v>4</v>
      </c>
      <c r="D239">
        <v>0</v>
      </c>
    </row>
    <row r="240" spans="1:4" x14ac:dyDescent="0.2">
      <c r="A240" t="s">
        <v>84</v>
      </c>
      <c r="B240" t="s">
        <v>47</v>
      </c>
      <c r="C240">
        <v>4</v>
      </c>
      <c r="D240" s="12">
        <v>0.27847222222222223</v>
      </c>
    </row>
    <row r="241" spans="1:4" x14ac:dyDescent="0.2">
      <c r="A241" t="s">
        <v>85</v>
      </c>
      <c r="B241" t="s">
        <v>47</v>
      </c>
      <c r="C241">
        <v>4</v>
      </c>
      <c r="D241" s="12">
        <v>0.23750000000000002</v>
      </c>
    </row>
    <row r="242" spans="1:4" x14ac:dyDescent="0.2">
      <c r="A242" t="s">
        <v>32</v>
      </c>
      <c r="B242" t="s">
        <v>40</v>
      </c>
      <c r="C242">
        <v>4</v>
      </c>
      <c r="D242">
        <v>7</v>
      </c>
    </row>
    <row r="243" spans="1:4" x14ac:dyDescent="0.2">
      <c r="A243" t="s">
        <v>33</v>
      </c>
      <c r="B243" t="s">
        <v>40</v>
      </c>
      <c r="C243">
        <v>4</v>
      </c>
      <c r="D243">
        <v>7</v>
      </c>
    </row>
    <row r="244" spans="1:4" x14ac:dyDescent="0.2">
      <c r="A244" t="s">
        <v>34</v>
      </c>
      <c r="B244" t="s">
        <v>40</v>
      </c>
      <c r="C244">
        <v>4</v>
      </c>
      <c r="D244">
        <v>0</v>
      </c>
    </row>
    <row r="245" spans="1:4" x14ac:dyDescent="0.2">
      <c r="A245" t="s">
        <v>35</v>
      </c>
      <c r="B245" t="s">
        <v>40</v>
      </c>
      <c r="C245">
        <v>4</v>
      </c>
      <c r="D245">
        <v>6</v>
      </c>
    </row>
    <row r="246" spans="1:4" x14ac:dyDescent="0.2">
      <c r="A246" t="s">
        <v>36</v>
      </c>
      <c r="B246" t="s">
        <v>40</v>
      </c>
      <c r="C246">
        <v>4</v>
      </c>
      <c r="D246">
        <v>1</v>
      </c>
    </row>
    <row r="247" spans="1:4" x14ac:dyDescent="0.2">
      <c r="A247" t="s">
        <v>37</v>
      </c>
      <c r="B247" t="s">
        <v>40</v>
      </c>
      <c r="C247">
        <v>4</v>
      </c>
      <c r="D247">
        <v>0</v>
      </c>
    </row>
    <row r="248" spans="1:4" x14ac:dyDescent="0.2">
      <c r="A248" t="s">
        <v>38</v>
      </c>
      <c r="B248" t="s">
        <v>40</v>
      </c>
      <c r="C248">
        <v>4</v>
      </c>
      <c r="D248">
        <v>0</v>
      </c>
    </row>
    <row r="249" spans="1:4" x14ac:dyDescent="0.2">
      <c r="A249" t="s">
        <v>39</v>
      </c>
      <c r="B249" t="s">
        <v>40</v>
      </c>
      <c r="C249">
        <v>4</v>
      </c>
      <c r="D249">
        <v>0</v>
      </c>
    </row>
    <row r="250" spans="1:4" x14ac:dyDescent="0.2">
      <c r="A250" t="s">
        <v>84</v>
      </c>
      <c r="B250" t="s">
        <v>40</v>
      </c>
      <c r="C250">
        <v>4</v>
      </c>
      <c r="D250" s="12">
        <v>0.25763888888888892</v>
      </c>
    </row>
    <row r="251" spans="1:4" x14ac:dyDescent="0.2">
      <c r="A251" t="s">
        <v>85</v>
      </c>
      <c r="B251" t="s">
        <v>40</v>
      </c>
      <c r="C251">
        <v>4</v>
      </c>
      <c r="D251" s="12">
        <v>0.29583333333333334</v>
      </c>
    </row>
    <row r="252" spans="1:4" x14ac:dyDescent="0.2">
      <c r="A252" t="s">
        <v>32</v>
      </c>
      <c r="B252" t="s">
        <v>50</v>
      </c>
      <c r="C252">
        <v>4</v>
      </c>
      <c r="D252">
        <v>7</v>
      </c>
    </row>
    <row r="253" spans="1:4" x14ac:dyDescent="0.2">
      <c r="A253" t="s">
        <v>33</v>
      </c>
      <c r="B253" t="s">
        <v>50</v>
      </c>
      <c r="C253">
        <v>4</v>
      </c>
      <c r="D253">
        <v>7</v>
      </c>
    </row>
    <row r="254" spans="1:4" x14ac:dyDescent="0.2">
      <c r="A254" t="s">
        <v>34</v>
      </c>
      <c r="B254" t="s">
        <v>50</v>
      </c>
      <c r="C254">
        <v>4</v>
      </c>
      <c r="D254">
        <v>0</v>
      </c>
    </row>
    <row r="255" spans="1:4" x14ac:dyDescent="0.2">
      <c r="A255" t="s">
        <v>35</v>
      </c>
      <c r="B255" t="s">
        <v>50</v>
      </c>
      <c r="C255">
        <v>4</v>
      </c>
      <c r="D255">
        <v>2</v>
      </c>
    </row>
    <row r="256" spans="1:4" x14ac:dyDescent="0.2">
      <c r="A256" t="s">
        <v>36</v>
      </c>
      <c r="B256" t="s">
        <v>50</v>
      </c>
      <c r="C256">
        <v>4</v>
      </c>
      <c r="D256">
        <v>5</v>
      </c>
    </row>
    <row r="257" spans="1:4" x14ac:dyDescent="0.2">
      <c r="A257" t="s">
        <v>37</v>
      </c>
      <c r="B257" t="s">
        <v>50</v>
      </c>
      <c r="C257">
        <v>4</v>
      </c>
      <c r="D257">
        <v>2</v>
      </c>
    </row>
    <row r="258" spans="1:4" x14ac:dyDescent="0.2">
      <c r="A258" t="s">
        <v>38</v>
      </c>
      <c r="B258" t="s">
        <v>50</v>
      </c>
      <c r="C258">
        <v>4</v>
      </c>
      <c r="D258">
        <v>0</v>
      </c>
    </row>
    <row r="259" spans="1:4" x14ac:dyDescent="0.2">
      <c r="A259" t="s">
        <v>39</v>
      </c>
      <c r="B259" t="s">
        <v>50</v>
      </c>
      <c r="C259">
        <v>4</v>
      </c>
      <c r="D259">
        <v>0</v>
      </c>
    </row>
    <row r="260" spans="1:4" x14ac:dyDescent="0.2">
      <c r="A260" t="s">
        <v>84</v>
      </c>
      <c r="B260" t="s">
        <v>50</v>
      </c>
      <c r="C260">
        <v>4</v>
      </c>
      <c r="D260" s="12">
        <v>0.25763888888888892</v>
      </c>
    </row>
    <row r="261" spans="1:4" x14ac:dyDescent="0.2">
      <c r="A261" t="s">
        <v>85</v>
      </c>
      <c r="B261" t="s">
        <v>50</v>
      </c>
      <c r="C261">
        <v>4</v>
      </c>
      <c r="D261" s="12">
        <v>0.35486111111111113</v>
      </c>
    </row>
    <row r="262" spans="1:4" x14ac:dyDescent="0.2">
      <c r="A262" t="s">
        <v>32</v>
      </c>
      <c r="B262" t="s">
        <v>53</v>
      </c>
      <c r="C262">
        <v>4</v>
      </c>
      <c r="D262">
        <v>7</v>
      </c>
    </row>
    <row r="263" spans="1:4" x14ac:dyDescent="0.2">
      <c r="A263" t="s">
        <v>33</v>
      </c>
      <c r="B263" t="s">
        <v>53</v>
      </c>
      <c r="C263">
        <v>4</v>
      </c>
      <c r="D263">
        <v>7</v>
      </c>
    </row>
    <row r="264" spans="1:4" x14ac:dyDescent="0.2">
      <c r="A264" t="s">
        <v>34</v>
      </c>
      <c r="B264" t="s">
        <v>53</v>
      </c>
      <c r="C264">
        <v>4</v>
      </c>
      <c r="D264">
        <v>0</v>
      </c>
    </row>
    <row r="265" spans="1:4" x14ac:dyDescent="0.2">
      <c r="A265" t="s">
        <v>35</v>
      </c>
      <c r="B265" t="s">
        <v>53</v>
      </c>
      <c r="C265">
        <v>4</v>
      </c>
      <c r="D265">
        <v>5</v>
      </c>
    </row>
    <row r="266" spans="1:4" x14ac:dyDescent="0.2">
      <c r="A266" t="s">
        <v>36</v>
      </c>
      <c r="B266" t="s">
        <v>53</v>
      </c>
      <c r="C266">
        <v>4</v>
      </c>
      <c r="D266">
        <v>2</v>
      </c>
    </row>
    <row r="267" spans="1:4" x14ac:dyDescent="0.2">
      <c r="A267" t="s">
        <v>37</v>
      </c>
      <c r="B267" t="s">
        <v>53</v>
      </c>
      <c r="C267">
        <v>4</v>
      </c>
      <c r="D267">
        <v>0</v>
      </c>
    </row>
    <row r="268" spans="1:4" x14ac:dyDescent="0.2">
      <c r="A268" t="s">
        <v>38</v>
      </c>
      <c r="B268" t="s">
        <v>53</v>
      </c>
      <c r="C268">
        <v>4</v>
      </c>
      <c r="D268">
        <v>0</v>
      </c>
    </row>
    <row r="269" spans="1:4" x14ac:dyDescent="0.2">
      <c r="A269" t="s">
        <v>39</v>
      </c>
      <c r="B269" t="s">
        <v>53</v>
      </c>
      <c r="C269">
        <v>4</v>
      </c>
      <c r="D269">
        <v>0</v>
      </c>
    </row>
    <row r="270" spans="1:4" x14ac:dyDescent="0.2">
      <c r="A270" t="s">
        <v>84</v>
      </c>
      <c r="B270" t="s">
        <v>53</v>
      </c>
      <c r="C270">
        <v>4</v>
      </c>
      <c r="D270" s="12">
        <v>0.25763888888888892</v>
      </c>
    </row>
    <row r="271" spans="1:4" x14ac:dyDescent="0.2">
      <c r="A271" t="s">
        <v>85</v>
      </c>
      <c r="B271" t="s">
        <v>53</v>
      </c>
      <c r="C271">
        <v>4</v>
      </c>
      <c r="D271" s="12">
        <v>6.805555555555555E-2</v>
      </c>
    </row>
    <row r="272" spans="1:4" x14ac:dyDescent="0.2">
      <c r="A272" t="s">
        <v>32</v>
      </c>
      <c r="B272" t="s">
        <v>83</v>
      </c>
      <c r="C272">
        <v>4</v>
      </c>
      <c r="D272">
        <v>4</v>
      </c>
    </row>
    <row r="273" spans="1:4" x14ac:dyDescent="0.2">
      <c r="A273" t="s">
        <v>33</v>
      </c>
      <c r="B273" t="s">
        <v>83</v>
      </c>
      <c r="C273">
        <v>4</v>
      </c>
      <c r="D273">
        <v>4</v>
      </c>
    </row>
    <row r="274" spans="1:4" x14ac:dyDescent="0.2">
      <c r="A274" t="s">
        <v>34</v>
      </c>
      <c r="B274" t="s">
        <v>83</v>
      </c>
      <c r="C274">
        <v>4</v>
      </c>
      <c r="D274">
        <v>2</v>
      </c>
    </row>
    <row r="275" spans="1:4" x14ac:dyDescent="0.2">
      <c r="A275" t="s">
        <v>35</v>
      </c>
      <c r="B275" t="s">
        <v>83</v>
      </c>
      <c r="C275">
        <v>4</v>
      </c>
      <c r="D275">
        <v>3</v>
      </c>
    </row>
    <row r="276" spans="1:4" x14ac:dyDescent="0.2">
      <c r="A276" t="s">
        <v>36</v>
      </c>
      <c r="B276" t="s">
        <v>83</v>
      </c>
      <c r="C276">
        <v>4</v>
      </c>
      <c r="D276">
        <v>1</v>
      </c>
    </row>
    <row r="277" spans="1:4" x14ac:dyDescent="0.2">
      <c r="A277" t="s">
        <v>37</v>
      </c>
      <c r="B277" t="s">
        <v>83</v>
      </c>
      <c r="C277">
        <v>4</v>
      </c>
      <c r="D277">
        <v>0</v>
      </c>
    </row>
    <row r="278" spans="1:4" x14ac:dyDescent="0.2">
      <c r="A278" t="s">
        <v>38</v>
      </c>
      <c r="B278" t="s">
        <v>83</v>
      </c>
      <c r="C278">
        <v>4</v>
      </c>
      <c r="D278">
        <v>0</v>
      </c>
    </row>
    <row r="279" spans="1:4" x14ac:dyDescent="0.2">
      <c r="A279" t="s">
        <v>39</v>
      </c>
      <c r="B279" t="s">
        <v>83</v>
      </c>
      <c r="C279">
        <v>4</v>
      </c>
      <c r="D279">
        <v>0</v>
      </c>
    </row>
    <row r="280" spans="1:4" x14ac:dyDescent="0.2">
      <c r="A280" t="s">
        <v>84</v>
      </c>
      <c r="B280" t="s">
        <v>83</v>
      </c>
      <c r="C280">
        <v>4</v>
      </c>
      <c r="D280" s="12">
        <v>4.9305555555555554E-2</v>
      </c>
    </row>
    <row r="281" spans="1:4" x14ac:dyDescent="0.2">
      <c r="A281" t="s">
        <v>85</v>
      </c>
      <c r="B281" t="s">
        <v>83</v>
      </c>
      <c r="C281">
        <v>4</v>
      </c>
      <c r="D281" s="12">
        <v>0.19166666666666665</v>
      </c>
    </row>
    <row r="282" spans="1:4" x14ac:dyDescent="0.2">
      <c r="A282" t="s">
        <v>32</v>
      </c>
      <c r="B282" t="s">
        <v>41</v>
      </c>
      <c r="C282">
        <v>5</v>
      </c>
      <c r="D282">
        <v>7</v>
      </c>
    </row>
    <row r="283" spans="1:4" x14ac:dyDescent="0.2">
      <c r="A283" t="s">
        <v>33</v>
      </c>
      <c r="B283" t="s">
        <v>41</v>
      </c>
      <c r="C283">
        <v>5</v>
      </c>
      <c r="D283">
        <v>7</v>
      </c>
    </row>
    <row r="284" spans="1:4" x14ac:dyDescent="0.2">
      <c r="A284" t="s">
        <v>34</v>
      </c>
      <c r="B284" t="s">
        <v>41</v>
      </c>
      <c r="C284">
        <v>5</v>
      </c>
      <c r="D284">
        <v>0</v>
      </c>
    </row>
    <row r="285" spans="1:4" x14ac:dyDescent="0.2">
      <c r="A285" t="s">
        <v>35</v>
      </c>
      <c r="B285" t="s">
        <v>41</v>
      </c>
      <c r="C285">
        <v>5</v>
      </c>
      <c r="D285">
        <v>6</v>
      </c>
    </row>
    <row r="286" spans="1:4" x14ac:dyDescent="0.2">
      <c r="A286" t="s">
        <v>36</v>
      </c>
      <c r="B286" t="s">
        <v>41</v>
      </c>
      <c r="C286">
        <v>5</v>
      </c>
      <c r="D286">
        <v>1</v>
      </c>
    </row>
    <row r="287" spans="1:4" x14ac:dyDescent="0.2">
      <c r="A287" t="s">
        <v>37</v>
      </c>
      <c r="B287" t="s">
        <v>41</v>
      </c>
      <c r="C287">
        <v>5</v>
      </c>
      <c r="D287">
        <v>0</v>
      </c>
    </row>
    <row r="288" spans="1:4" x14ac:dyDescent="0.2">
      <c r="A288" t="s">
        <v>38</v>
      </c>
      <c r="B288" t="s">
        <v>41</v>
      </c>
      <c r="C288">
        <v>5</v>
      </c>
      <c r="D288">
        <v>0</v>
      </c>
    </row>
    <row r="289" spans="1:4" x14ac:dyDescent="0.2">
      <c r="A289" t="s">
        <v>39</v>
      </c>
      <c r="B289" t="s">
        <v>41</v>
      </c>
      <c r="C289">
        <v>5</v>
      </c>
      <c r="D289">
        <v>0</v>
      </c>
    </row>
    <row r="290" spans="1:4" x14ac:dyDescent="0.2">
      <c r="A290" t="s">
        <v>84</v>
      </c>
      <c r="B290" t="s">
        <v>41</v>
      </c>
      <c r="C290">
        <v>5</v>
      </c>
      <c r="D290" s="12">
        <v>0.1763888888888889</v>
      </c>
    </row>
    <row r="291" spans="1:4" x14ac:dyDescent="0.2">
      <c r="A291" t="s">
        <v>85</v>
      </c>
      <c r="B291" t="s">
        <v>41</v>
      </c>
      <c r="C291">
        <v>5</v>
      </c>
      <c r="D291" s="12">
        <v>0.39097222222222222</v>
      </c>
    </row>
    <row r="292" spans="1:4" x14ac:dyDescent="0.2">
      <c r="A292" t="s">
        <v>32</v>
      </c>
      <c r="B292" t="s">
        <v>44</v>
      </c>
      <c r="C292">
        <v>5</v>
      </c>
      <c r="D292">
        <v>7</v>
      </c>
    </row>
    <row r="293" spans="1:4" x14ac:dyDescent="0.2">
      <c r="A293" t="s">
        <v>33</v>
      </c>
      <c r="B293" t="s">
        <v>44</v>
      </c>
      <c r="C293">
        <v>5</v>
      </c>
      <c r="D293">
        <v>6</v>
      </c>
    </row>
    <row r="294" spans="1:4" x14ac:dyDescent="0.2">
      <c r="A294" t="s">
        <v>34</v>
      </c>
      <c r="B294" t="s">
        <v>44</v>
      </c>
      <c r="C294">
        <v>5</v>
      </c>
      <c r="D294">
        <v>0</v>
      </c>
    </row>
    <row r="295" spans="1:4" x14ac:dyDescent="0.2">
      <c r="A295" t="s">
        <v>35</v>
      </c>
      <c r="B295" t="s">
        <v>44</v>
      </c>
      <c r="C295">
        <v>5</v>
      </c>
      <c r="D295">
        <v>4</v>
      </c>
    </row>
    <row r="296" spans="1:4" x14ac:dyDescent="0.2">
      <c r="A296" t="s">
        <v>36</v>
      </c>
      <c r="B296" t="s">
        <v>44</v>
      </c>
      <c r="C296">
        <v>5</v>
      </c>
      <c r="D296">
        <v>2</v>
      </c>
    </row>
    <row r="297" spans="1:4" x14ac:dyDescent="0.2">
      <c r="A297" t="s">
        <v>37</v>
      </c>
      <c r="B297" t="s">
        <v>44</v>
      </c>
      <c r="C297">
        <v>5</v>
      </c>
      <c r="D297">
        <v>0</v>
      </c>
    </row>
    <row r="298" spans="1:4" x14ac:dyDescent="0.2">
      <c r="A298" t="s">
        <v>38</v>
      </c>
      <c r="B298" t="s">
        <v>44</v>
      </c>
      <c r="C298">
        <v>5</v>
      </c>
      <c r="D298">
        <v>1</v>
      </c>
    </row>
    <row r="299" spans="1:4" x14ac:dyDescent="0.2">
      <c r="A299" t="s">
        <v>39</v>
      </c>
      <c r="B299" t="s">
        <v>44</v>
      </c>
      <c r="C299">
        <v>5</v>
      </c>
      <c r="D299">
        <v>0</v>
      </c>
    </row>
    <row r="300" spans="1:4" x14ac:dyDescent="0.2">
      <c r="A300" t="s">
        <v>84</v>
      </c>
      <c r="B300" t="s">
        <v>44</v>
      </c>
      <c r="C300">
        <v>5</v>
      </c>
      <c r="D300" s="12">
        <v>0.1763888888888889</v>
      </c>
    </row>
    <row r="301" spans="1:4" x14ac:dyDescent="0.2">
      <c r="A301" t="s">
        <v>85</v>
      </c>
      <c r="B301" t="s">
        <v>44</v>
      </c>
      <c r="C301">
        <v>5</v>
      </c>
      <c r="D301" s="12">
        <v>0.14444444444444446</v>
      </c>
    </row>
    <row r="302" spans="1:4" x14ac:dyDescent="0.2">
      <c r="A302" t="s">
        <v>32</v>
      </c>
      <c r="B302" t="s">
        <v>47</v>
      </c>
      <c r="C302">
        <v>5</v>
      </c>
      <c r="D302">
        <v>8</v>
      </c>
    </row>
    <row r="303" spans="1:4" x14ac:dyDescent="0.2">
      <c r="A303" t="s">
        <v>33</v>
      </c>
      <c r="B303" t="s">
        <v>47</v>
      </c>
      <c r="C303">
        <v>5</v>
      </c>
      <c r="D303">
        <v>8</v>
      </c>
    </row>
    <row r="304" spans="1:4" x14ac:dyDescent="0.2">
      <c r="A304" t="s">
        <v>34</v>
      </c>
      <c r="B304" t="s">
        <v>47</v>
      </c>
      <c r="C304">
        <v>5</v>
      </c>
      <c r="D304">
        <v>0</v>
      </c>
    </row>
    <row r="305" spans="1:4" x14ac:dyDescent="0.2">
      <c r="A305" t="s">
        <v>35</v>
      </c>
      <c r="B305" t="s">
        <v>47</v>
      </c>
      <c r="C305">
        <v>5</v>
      </c>
      <c r="D305">
        <v>7</v>
      </c>
    </row>
    <row r="306" spans="1:4" x14ac:dyDescent="0.2">
      <c r="A306" t="s">
        <v>36</v>
      </c>
      <c r="B306" t="s">
        <v>47</v>
      </c>
      <c r="C306">
        <v>5</v>
      </c>
      <c r="D306">
        <v>1</v>
      </c>
    </row>
    <row r="307" spans="1:4" x14ac:dyDescent="0.2">
      <c r="A307" t="s">
        <v>37</v>
      </c>
      <c r="B307" t="s">
        <v>47</v>
      </c>
      <c r="C307">
        <v>5</v>
      </c>
      <c r="D307">
        <v>0</v>
      </c>
    </row>
    <row r="308" spans="1:4" x14ac:dyDescent="0.2">
      <c r="A308" t="s">
        <v>38</v>
      </c>
      <c r="B308" t="s">
        <v>47</v>
      </c>
      <c r="C308">
        <v>5</v>
      </c>
      <c r="D308">
        <v>0</v>
      </c>
    </row>
    <row r="309" spans="1:4" x14ac:dyDescent="0.2">
      <c r="A309" t="s">
        <v>39</v>
      </c>
      <c r="B309" t="s">
        <v>47</v>
      </c>
      <c r="C309">
        <v>5</v>
      </c>
      <c r="D309">
        <v>0</v>
      </c>
    </row>
    <row r="310" spans="1:4" x14ac:dyDescent="0.2">
      <c r="A310" t="s">
        <v>84</v>
      </c>
      <c r="B310" t="s">
        <v>47</v>
      </c>
      <c r="C310">
        <v>5</v>
      </c>
      <c r="D310" s="12">
        <v>0.19722222222222222</v>
      </c>
    </row>
    <row r="311" spans="1:4" x14ac:dyDescent="0.2">
      <c r="A311" t="s">
        <v>85</v>
      </c>
      <c r="B311" t="s">
        <v>47</v>
      </c>
      <c r="C311">
        <v>5</v>
      </c>
      <c r="D311" s="12">
        <v>0.14861111111111111</v>
      </c>
    </row>
    <row r="312" spans="1:4" x14ac:dyDescent="0.2">
      <c r="A312" t="s">
        <v>32</v>
      </c>
      <c r="B312" t="s">
        <v>40</v>
      </c>
      <c r="C312">
        <v>5</v>
      </c>
      <c r="D312">
        <v>7</v>
      </c>
    </row>
    <row r="313" spans="1:4" x14ac:dyDescent="0.2">
      <c r="A313" t="s">
        <v>33</v>
      </c>
      <c r="B313" t="s">
        <v>40</v>
      </c>
      <c r="C313">
        <v>5</v>
      </c>
      <c r="D313">
        <v>7</v>
      </c>
    </row>
    <row r="314" spans="1:4" x14ac:dyDescent="0.2">
      <c r="A314" t="s">
        <v>34</v>
      </c>
      <c r="B314" t="s">
        <v>40</v>
      </c>
      <c r="C314">
        <v>5</v>
      </c>
      <c r="D314">
        <v>0</v>
      </c>
    </row>
    <row r="315" spans="1:4" x14ac:dyDescent="0.2">
      <c r="A315" t="s">
        <v>35</v>
      </c>
      <c r="B315" t="s">
        <v>40</v>
      </c>
      <c r="C315">
        <v>5</v>
      </c>
      <c r="D315">
        <v>6</v>
      </c>
    </row>
    <row r="316" spans="1:4" x14ac:dyDescent="0.2">
      <c r="A316" t="s">
        <v>36</v>
      </c>
      <c r="B316" t="s">
        <v>40</v>
      </c>
      <c r="C316">
        <v>5</v>
      </c>
      <c r="D316">
        <v>1</v>
      </c>
    </row>
    <row r="317" spans="1:4" x14ac:dyDescent="0.2">
      <c r="A317" t="s">
        <v>37</v>
      </c>
      <c r="B317" t="s">
        <v>40</v>
      </c>
      <c r="C317">
        <v>5</v>
      </c>
      <c r="D317">
        <v>0</v>
      </c>
    </row>
    <row r="318" spans="1:4" x14ac:dyDescent="0.2">
      <c r="A318" t="s">
        <v>38</v>
      </c>
      <c r="B318" t="s">
        <v>40</v>
      </c>
      <c r="C318">
        <v>5</v>
      </c>
      <c r="D318">
        <v>0</v>
      </c>
    </row>
    <row r="319" spans="1:4" x14ac:dyDescent="0.2">
      <c r="A319" t="s">
        <v>39</v>
      </c>
      <c r="B319" t="s">
        <v>40</v>
      </c>
      <c r="C319">
        <v>5</v>
      </c>
      <c r="D319">
        <v>0</v>
      </c>
    </row>
    <row r="320" spans="1:4" x14ac:dyDescent="0.2">
      <c r="A320" t="s">
        <v>84</v>
      </c>
      <c r="B320" t="s">
        <v>40</v>
      </c>
      <c r="C320">
        <v>5</v>
      </c>
      <c r="D320" s="12">
        <v>0.1763888888888889</v>
      </c>
    </row>
    <row r="321" spans="1:4" x14ac:dyDescent="0.2">
      <c r="A321" t="s">
        <v>85</v>
      </c>
      <c r="B321" t="s">
        <v>40</v>
      </c>
      <c r="C321">
        <v>5</v>
      </c>
      <c r="D321" s="12">
        <v>0.23055555555555554</v>
      </c>
    </row>
    <row r="322" spans="1:4" x14ac:dyDescent="0.2">
      <c r="A322" t="s">
        <v>32</v>
      </c>
      <c r="B322" t="s">
        <v>50</v>
      </c>
      <c r="C322">
        <v>5</v>
      </c>
      <c r="D322">
        <v>7</v>
      </c>
    </row>
    <row r="323" spans="1:4" x14ac:dyDescent="0.2">
      <c r="A323" t="s">
        <v>33</v>
      </c>
      <c r="B323" t="s">
        <v>50</v>
      </c>
      <c r="C323">
        <v>5</v>
      </c>
      <c r="D323">
        <v>7</v>
      </c>
    </row>
    <row r="324" spans="1:4" x14ac:dyDescent="0.2">
      <c r="A324" t="s">
        <v>34</v>
      </c>
      <c r="B324" t="s">
        <v>50</v>
      </c>
      <c r="C324">
        <v>5</v>
      </c>
      <c r="D324">
        <v>0</v>
      </c>
    </row>
    <row r="325" spans="1:4" x14ac:dyDescent="0.2">
      <c r="A325" t="s">
        <v>35</v>
      </c>
      <c r="B325" t="s">
        <v>50</v>
      </c>
      <c r="C325">
        <v>5</v>
      </c>
      <c r="D325">
        <v>2</v>
      </c>
    </row>
    <row r="326" spans="1:4" x14ac:dyDescent="0.2">
      <c r="A326" t="s">
        <v>36</v>
      </c>
      <c r="B326" t="s">
        <v>50</v>
      </c>
      <c r="C326">
        <v>5</v>
      </c>
      <c r="D326">
        <v>5</v>
      </c>
    </row>
    <row r="327" spans="1:4" x14ac:dyDescent="0.2">
      <c r="A327" t="s">
        <v>37</v>
      </c>
      <c r="B327" t="s">
        <v>50</v>
      </c>
      <c r="C327">
        <v>5</v>
      </c>
      <c r="D327">
        <v>0</v>
      </c>
    </row>
    <row r="328" spans="1:4" x14ac:dyDescent="0.2">
      <c r="A328" t="s">
        <v>38</v>
      </c>
      <c r="B328" t="s">
        <v>50</v>
      </c>
      <c r="C328">
        <v>5</v>
      </c>
      <c r="D328">
        <v>0</v>
      </c>
    </row>
    <row r="329" spans="1:4" x14ac:dyDescent="0.2">
      <c r="A329" t="s">
        <v>39</v>
      </c>
      <c r="B329" t="s">
        <v>50</v>
      </c>
      <c r="C329">
        <v>5</v>
      </c>
      <c r="D329">
        <v>0</v>
      </c>
    </row>
    <row r="330" spans="1:4" x14ac:dyDescent="0.2">
      <c r="A330" t="s">
        <v>84</v>
      </c>
      <c r="B330" t="s">
        <v>50</v>
      </c>
      <c r="C330">
        <v>5</v>
      </c>
      <c r="D330" s="12">
        <v>0.1763888888888889</v>
      </c>
    </row>
    <row r="331" spans="1:4" x14ac:dyDescent="0.2">
      <c r="A331" t="s">
        <v>85</v>
      </c>
      <c r="B331" t="s">
        <v>50</v>
      </c>
      <c r="C331">
        <v>5</v>
      </c>
      <c r="D331" s="12">
        <v>0.84305555555555556</v>
      </c>
    </row>
    <row r="332" spans="1:4" x14ac:dyDescent="0.2">
      <c r="A332" t="s">
        <v>32</v>
      </c>
      <c r="B332" t="s">
        <v>53</v>
      </c>
      <c r="C332">
        <v>5</v>
      </c>
      <c r="D332">
        <v>7</v>
      </c>
    </row>
    <row r="333" spans="1:4" x14ac:dyDescent="0.2">
      <c r="A333" t="s">
        <v>33</v>
      </c>
      <c r="B333" t="s">
        <v>53</v>
      </c>
      <c r="C333">
        <v>5</v>
      </c>
      <c r="D333">
        <v>7</v>
      </c>
    </row>
    <row r="334" spans="1:4" x14ac:dyDescent="0.2">
      <c r="A334" t="s">
        <v>34</v>
      </c>
      <c r="B334" t="s">
        <v>53</v>
      </c>
      <c r="C334">
        <v>5</v>
      </c>
      <c r="D334">
        <v>0</v>
      </c>
    </row>
    <row r="335" spans="1:4" x14ac:dyDescent="0.2">
      <c r="A335" t="s">
        <v>35</v>
      </c>
      <c r="B335" t="s">
        <v>53</v>
      </c>
      <c r="C335">
        <v>5</v>
      </c>
      <c r="D335">
        <v>6</v>
      </c>
    </row>
    <row r="336" spans="1:4" x14ac:dyDescent="0.2">
      <c r="A336" t="s">
        <v>36</v>
      </c>
      <c r="B336" t="s">
        <v>53</v>
      </c>
      <c r="C336">
        <v>5</v>
      </c>
      <c r="D336">
        <v>1</v>
      </c>
    </row>
    <row r="337" spans="1:4" x14ac:dyDescent="0.2">
      <c r="A337" t="s">
        <v>37</v>
      </c>
      <c r="B337" t="s">
        <v>53</v>
      </c>
      <c r="C337">
        <v>5</v>
      </c>
      <c r="D337">
        <v>0</v>
      </c>
    </row>
    <row r="338" spans="1:4" x14ac:dyDescent="0.2">
      <c r="A338" t="s">
        <v>38</v>
      </c>
      <c r="B338" t="s">
        <v>53</v>
      </c>
      <c r="C338">
        <v>5</v>
      </c>
      <c r="D338">
        <v>0</v>
      </c>
    </row>
    <row r="339" spans="1:4" x14ac:dyDescent="0.2">
      <c r="A339" t="s">
        <v>39</v>
      </c>
      <c r="B339" t="s">
        <v>53</v>
      </c>
      <c r="C339">
        <v>5</v>
      </c>
      <c r="D339">
        <v>0</v>
      </c>
    </row>
    <row r="340" spans="1:4" x14ac:dyDescent="0.2">
      <c r="A340" t="s">
        <v>84</v>
      </c>
      <c r="B340" t="s">
        <v>53</v>
      </c>
      <c r="C340">
        <v>5</v>
      </c>
      <c r="D340" s="12">
        <v>0.1763888888888889</v>
      </c>
    </row>
    <row r="341" spans="1:4" x14ac:dyDescent="0.2">
      <c r="A341" t="s">
        <v>85</v>
      </c>
      <c r="B341" t="s">
        <v>53</v>
      </c>
      <c r="C341">
        <v>5</v>
      </c>
      <c r="D341" s="12">
        <v>0.30555555555555552</v>
      </c>
    </row>
    <row r="342" spans="1:4" x14ac:dyDescent="0.2">
      <c r="A342" t="s">
        <v>32</v>
      </c>
      <c r="B342" t="s">
        <v>83</v>
      </c>
      <c r="C342">
        <v>5</v>
      </c>
      <c r="D342">
        <v>3</v>
      </c>
    </row>
    <row r="343" spans="1:4" x14ac:dyDescent="0.2">
      <c r="A343" t="s">
        <v>33</v>
      </c>
      <c r="B343" t="s">
        <v>83</v>
      </c>
      <c r="C343">
        <v>5</v>
      </c>
      <c r="D343">
        <v>3</v>
      </c>
    </row>
    <row r="344" spans="1:4" x14ac:dyDescent="0.2">
      <c r="A344" t="s">
        <v>34</v>
      </c>
      <c r="B344" t="s">
        <v>83</v>
      </c>
      <c r="C344">
        <v>5</v>
      </c>
      <c r="D344">
        <v>0</v>
      </c>
    </row>
    <row r="345" spans="1:4" x14ac:dyDescent="0.2">
      <c r="A345" t="s">
        <v>35</v>
      </c>
      <c r="B345" t="s">
        <v>83</v>
      </c>
      <c r="C345">
        <v>5</v>
      </c>
      <c r="D345">
        <v>2</v>
      </c>
    </row>
    <row r="346" spans="1:4" x14ac:dyDescent="0.2">
      <c r="A346" t="s">
        <v>36</v>
      </c>
      <c r="B346" t="s">
        <v>83</v>
      </c>
      <c r="C346">
        <v>5</v>
      </c>
      <c r="D346">
        <v>1</v>
      </c>
    </row>
    <row r="347" spans="1:4" x14ac:dyDescent="0.2">
      <c r="A347" t="s">
        <v>37</v>
      </c>
      <c r="B347" t="s">
        <v>83</v>
      </c>
      <c r="C347">
        <v>5</v>
      </c>
      <c r="D347">
        <v>0</v>
      </c>
    </row>
    <row r="348" spans="1:4" x14ac:dyDescent="0.2">
      <c r="A348" t="s">
        <v>38</v>
      </c>
      <c r="B348" t="s">
        <v>83</v>
      </c>
      <c r="C348">
        <v>5</v>
      </c>
      <c r="D348">
        <v>0</v>
      </c>
    </row>
    <row r="349" spans="1:4" x14ac:dyDescent="0.2">
      <c r="A349" t="s">
        <v>39</v>
      </c>
      <c r="B349" t="s">
        <v>83</v>
      </c>
      <c r="C349">
        <v>5</v>
      </c>
      <c r="D349">
        <v>0</v>
      </c>
    </row>
    <row r="350" spans="1:4" x14ac:dyDescent="0.2">
      <c r="A350" t="s">
        <v>84</v>
      </c>
      <c r="B350" t="s">
        <v>83</v>
      </c>
      <c r="C350">
        <v>5</v>
      </c>
      <c r="D350" s="12">
        <v>9.7222222222222224E-3</v>
      </c>
    </row>
    <row r="351" spans="1:4" x14ac:dyDescent="0.2">
      <c r="A351" t="s">
        <v>85</v>
      </c>
      <c r="B351" t="s">
        <v>83</v>
      </c>
      <c r="C351">
        <v>5</v>
      </c>
      <c r="D351" s="12">
        <v>2.2222222222222223E-2</v>
      </c>
    </row>
    <row r="352" spans="1:4" x14ac:dyDescent="0.2">
      <c r="A352" t="s">
        <v>32</v>
      </c>
      <c r="B352" t="s">
        <v>41</v>
      </c>
      <c r="C352">
        <v>6</v>
      </c>
      <c r="D352">
        <v>5</v>
      </c>
    </row>
    <row r="353" spans="1:4" x14ac:dyDescent="0.2">
      <c r="A353" t="s">
        <v>33</v>
      </c>
      <c r="B353" t="s">
        <v>41</v>
      </c>
      <c r="C353">
        <v>6</v>
      </c>
      <c r="D353">
        <v>3</v>
      </c>
    </row>
    <row r="354" spans="1:4" x14ac:dyDescent="0.2">
      <c r="A354" t="s">
        <v>34</v>
      </c>
      <c r="B354" t="s">
        <v>41</v>
      </c>
      <c r="C354">
        <v>6</v>
      </c>
      <c r="D354">
        <v>0</v>
      </c>
    </row>
    <row r="355" spans="1:4" x14ac:dyDescent="0.2">
      <c r="A355" t="s">
        <v>35</v>
      </c>
      <c r="B355" t="s">
        <v>41</v>
      </c>
      <c r="C355">
        <v>6</v>
      </c>
      <c r="D355">
        <v>2</v>
      </c>
    </row>
    <row r="356" spans="1:4" x14ac:dyDescent="0.2">
      <c r="A356" t="s">
        <v>36</v>
      </c>
      <c r="B356" t="s">
        <v>41</v>
      </c>
      <c r="C356">
        <v>6</v>
      </c>
      <c r="D356">
        <v>1</v>
      </c>
    </row>
    <row r="357" spans="1:4" x14ac:dyDescent="0.2">
      <c r="A357" t="s">
        <v>37</v>
      </c>
      <c r="B357" t="s">
        <v>41</v>
      </c>
      <c r="C357">
        <v>6</v>
      </c>
      <c r="D357">
        <v>0</v>
      </c>
    </row>
    <row r="358" spans="1:4" x14ac:dyDescent="0.2">
      <c r="A358" t="s">
        <v>38</v>
      </c>
      <c r="B358" t="s">
        <v>41</v>
      </c>
      <c r="C358">
        <v>6</v>
      </c>
      <c r="D358">
        <v>2</v>
      </c>
    </row>
    <row r="359" spans="1:4" x14ac:dyDescent="0.2">
      <c r="A359" t="s">
        <v>39</v>
      </c>
      <c r="B359" t="s">
        <v>41</v>
      </c>
      <c r="C359">
        <v>6</v>
      </c>
      <c r="D359">
        <v>0</v>
      </c>
    </row>
    <row r="360" spans="1:4" x14ac:dyDescent="0.2">
      <c r="A360" t="s">
        <v>84</v>
      </c>
      <c r="B360" t="s">
        <v>41</v>
      </c>
      <c r="C360">
        <v>6</v>
      </c>
      <c r="D360" s="12">
        <v>0.19166666666666665</v>
      </c>
    </row>
    <row r="361" spans="1:4" x14ac:dyDescent="0.2">
      <c r="A361" t="s">
        <v>85</v>
      </c>
      <c r="B361" t="s">
        <v>41</v>
      </c>
      <c r="C361">
        <v>6</v>
      </c>
      <c r="D361" s="12">
        <v>9.930555555555555E-2</v>
      </c>
    </row>
    <row r="362" spans="1:4" x14ac:dyDescent="0.2">
      <c r="A362" t="s">
        <v>32</v>
      </c>
      <c r="B362" t="s">
        <v>44</v>
      </c>
      <c r="C362">
        <v>6</v>
      </c>
      <c r="D362">
        <v>5</v>
      </c>
    </row>
    <row r="363" spans="1:4" x14ac:dyDescent="0.2">
      <c r="A363" t="s">
        <v>33</v>
      </c>
      <c r="B363" t="s">
        <v>44</v>
      </c>
      <c r="C363">
        <v>6</v>
      </c>
      <c r="D363">
        <v>2</v>
      </c>
    </row>
    <row r="364" spans="1:4" x14ac:dyDescent="0.2">
      <c r="A364" t="s">
        <v>34</v>
      </c>
      <c r="B364" t="s">
        <v>44</v>
      </c>
      <c r="C364">
        <v>6</v>
      </c>
      <c r="D364">
        <v>0</v>
      </c>
    </row>
    <row r="365" spans="1:4" x14ac:dyDescent="0.2">
      <c r="A365" t="s">
        <v>35</v>
      </c>
      <c r="B365" t="s">
        <v>44</v>
      </c>
      <c r="C365">
        <v>6</v>
      </c>
      <c r="D365">
        <v>0</v>
      </c>
    </row>
    <row r="366" spans="1:4" x14ac:dyDescent="0.2">
      <c r="A366" t="s">
        <v>36</v>
      </c>
      <c r="B366" t="s">
        <v>44</v>
      </c>
      <c r="C366">
        <v>6</v>
      </c>
      <c r="D366">
        <v>2</v>
      </c>
    </row>
    <row r="367" spans="1:4" x14ac:dyDescent="0.2">
      <c r="A367" t="s">
        <v>37</v>
      </c>
      <c r="B367" t="s">
        <v>44</v>
      </c>
      <c r="C367">
        <v>6</v>
      </c>
      <c r="D367">
        <v>0</v>
      </c>
    </row>
    <row r="368" spans="1:4" x14ac:dyDescent="0.2">
      <c r="A368" t="s">
        <v>38</v>
      </c>
      <c r="B368" t="s">
        <v>44</v>
      </c>
      <c r="C368">
        <v>6</v>
      </c>
      <c r="D368">
        <v>3</v>
      </c>
    </row>
    <row r="369" spans="1:4" x14ac:dyDescent="0.2">
      <c r="A369" t="s">
        <v>39</v>
      </c>
      <c r="B369" t="s">
        <v>44</v>
      </c>
      <c r="C369">
        <v>6</v>
      </c>
      <c r="D369">
        <v>0</v>
      </c>
    </row>
    <row r="370" spans="1:4" x14ac:dyDescent="0.2">
      <c r="A370" t="s">
        <v>84</v>
      </c>
      <c r="B370" t="s">
        <v>44</v>
      </c>
      <c r="C370">
        <v>6</v>
      </c>
      <c r="D370" s="12">
        <v>0.19166666666666665</v>
      </c>
    </row>
    <row r="371" spans="1:4" x14ac:dyDescent="0.2">
      <c r="A371" t="s">
        <v>85</v>
      </c>
      <c r="B371" t="s">
        <v>44</v>
      </c>
      <c r="C371">
        <v>6</v>
      </c>
      <c r="D371" s="12">
        <v>5.9027777777777783E-2</v>
      </c>
    </row>
    <row r="372" spans="1:4" x14ac:dyDescent="0.2">
      <c r="A372" t="s">
        <v>32</v>
      </c>
      <c r="B372" t="s">
        <v>47</v>
      </c>
      <c r="C372">
        <v>6</v>
      </c>
      <c r="D372">
        <v>6</v>
      </c>
    </row>
    <row r="373" spans="1:4" x14ac:dyDescent="0.2">
      <c r="A373" t="s">
        <v>33</v>
      </c>
      <c r="B373" t="s">
        <v>47</v>
      </c>
      <c r="C373">
        <v>6</v>
      </c>
      <c r="D373">
        <v>3</v>
      </c>
    </row>
    <row r="374" spans="1:4" x14ac:dyDescent="0.2">
      <c r="A374" t="s">
        <v>34</v>
      </c>
      <c r="B374" t="s">
        <v>47</v>
      </c>
      <c r="C374">
        <v>6</v>
      </c>
      <c r="D374">
        <v>0</v>
      </c>
    </row>
    <row r="375" spans="1:4" x14ac:dyDescent="0.2">
      <c r="A375" t="s">
        <v>35</v>
      </c>
      <c r="B375" t="s">
        <v>47</v>
      </c>
      <c r="C375">
        <v>6</v>
      </c>
      <c r="D375">
        <v>1</v>
      </c>
    </row>
    <row r="376" spans="1:4" x14ac:dyDescent="0.2">
      <c r="A376" t="s">
        <v>36</v>
      </c>
      <c r="B376" t="s">
        <v>47</v>
      </c>
      <c r="C376">
        <v>6</v>
      </c>
      <c r="D376">
        <v>2</v>
      </c>
    </row>
    <row r="377" spans="1:4" x14ac:dyDescent="0.2">
      <c r="A377" t="s">
        <v>37</v>
      </c>
      <c r="B377" t="s">
        <v>47</v>
      </c>
      <c r="C377">
        <v>6</v>
      </c>
      <c r="D377">
        <v>0</v>
      </c>
    </row>
    <row r="378" spans="1:4" x14ac:dyDescent="0.2">
      <c r="A378" t="s">
        <v>38</v>
      </c>
      <c r="B378" t="s">
        <v>47</v>
      </c>
      <c r="C378">
        <v>6</v>
      </c>
      <c r="D378">
        <v>3</v>
      </c>
    </row>
    <row r="379" spans="1:4" x14ac:dyDescent="0.2">
      <c r="A379" t="s">
        <v>39</v>
      </c>
      <c r="B379" t="s">
        <v>47</v>
      </c>
      <c r="C379">
        <v>6</v>
      </c>
      <c r="D379">
        <v>0</v>
      </c>
    </row>
    <row r="380" spans="1:4" x14ac:dyDescent="0.2">
      <c r="A380" t="s">
        <v>84</v>
      </c>
      <c r="B380" t="s">
        <v>47</v>
      </c>
      <c r="C380">
        <v>6</v>
      </c>
      <c r="D380" s="12">
        <v>0.23333333333333331</v>
      </c>
    </row>
    <row r="381" spans="1:4" x14ac:dyDescent="0.2">
      <c r="A381" t="s">
        <v>85</v>
      </c>
      <c r="B381" t="s">
        <v>47</v>
      </c>
      <c r="C381">
        <v>6</v>
      </c>
      <c r="D381" s="12">
        <v>4.9305555555555554E-2</v>
      </c>
    </row>
    <row r="382" spans="1:4" x14ac:dyDescent="0.2">
      <c r="A382" t="s">
        <v>32</v>
      </c>
      <c r="B382" t="s">
        <v>40</v>
      </c>
      <c r="C382">
        <v>6</v>
      </c>
      <c r="D382">
        <v>5</v>
      </c>
    </row>
    <row r="383" spans="1:4" x14ac:dyDescent="0.2">
      <c r="A383" t="s">
        <v>33</v>
      </c>
      <c r="B383" t="s">
        <v>40</v>
      </c>
      <c r="C383">
        <v>6</v>
      </c>
      <c r="D383">
        <v>3</v>
      </c>
    </row>
    <row r="384" spans="1:4" x14ac:dyDescent="0.2">
      <c r="A384" t="s">
        <v>34</v>
      </c>
      <c r="B384" t="s">
        <v>40</v>
      </c>
      <c r="C384">
        <v>6</v>
      </c>
      <c r="D384">
        <v>0</v>
      </c>
    </row>
    <row r="385" spans="1:4" x14ac:dyDescent="0.2">
      <c r="A385" t="s">
        <v>35</v>
      </c>
      <c r="B385" t="s">
        <v>40</v>
      </c>
      <c r="C385">
        <v>6</v>
      </c>
      <c r="D385">
        <v>1</v>
      </c>
    </row>
    <row r="386" spans="1:4" x14ac:dyDescent="0.2">
      <c r="A386" t="s">
        <v>36</v>
      </c>
      <c r="B386" t="s">
        <v>40</v>
      </c>
      <c r="C386">
        <v>6</v>
      </c>
      <c r="D386">
        <v>2</v>
      </c>
    </row>
    <row r="387" spans="1:4" x14ac:dyDescent="0.2">
      <c r="A387" t="s">
        <v>37</v>
      </c>
      <c r="B387" t="s">
        <v>40</v>
      </c>
      <c r="C387">
        <v>6</v>
      </c>
      <c r="D387">
        <v>0</v>
      </c>
    </row>
    <row r="388" spans="1:4" x14ac:dyDescent="0.2">
      <c r="A388" t="s">
        <v>38</v>
      </c>
      <c r="B388" t="s">
        <v>40</v>
      </c>
      <c r="C388">
        <v>6</v>
      </c>
      <c r="D388">
        <v>2</v>
      </c>
    </row>
    <row r="389" spans="1:4" x14ac:dyDescent="0.2">
      <c r="A389" t="s">
        <v>39</v>
      </c>
      <c r="B389" t="s">
        <v>40</v>
      </c>
      <c r="C389">
        <v>6</v>
      </c>
      <c r="D389">
        <v>0</v>
      </c>
    </row>
    <row r="390" spans="1:4" x14ac:dyDescent="0.2">
      <c r="A390" t="s">
        <v>84</v>
      </c>
      <c r="B390" t="s">
        <v>40</v>
      </c>
      <c r="C390">
        <v>6</v>
      </c>
      <c r="D390" s="12">
        <v>0.19166666666666665</v>
      </c>
    </row>
    <row r="391" spans="1:4" x14ac:dyDescent="0.2">
      <c r="A391" t="s">
        <v>85</v>
      </c>
      <c r="B391" t="s">
        <v>40</v>
      </c>
      <c r="C391">
        <v>6</v>
      </c>
      <c r="D391" s="12">
        <v>0.12847222222222224</v>
      </c>
    </row>
    <row r="392" spans="1:4" x14ac:dyDescent="0.2">
      <c r="A392" t="s">
        <v>32</v>
      </c>
      <c r="B392" t="s">
        <v>50</v>
      </c>
      <c r="C392">
        <v>6</v>
      </c>
      <c r="D392">
        <v>5</v>
      </c>
    </row>
    <row r="393" spans="1:4" x14ac:dyDescent="0.2">
      <c r="A393" t="s">
        <v>33</v>
      </c>
      <c r="B393" t="s">
        <v>50</v>
      </c>
      <c r="C393">
        <v>6</v>
      </c>
      <c r="D393">
        <v>2</v>
      </c>
    </row>
    <row r="394" spans="1:4" x14ac:dyDescent="0.2">
      <c r="A394" t="s">
        <v>34</v>
      </c>
      <c r="B394" t="s">
        <v>50</v>
      </c>
      <c r="C394">
        <v>6</v>
      </c>
      <c r="D394">
        <v>0</v>
      </c>
    </row>
    <row r="395" spans="1:4" x14ac:dyDescent="0.2">
      <c r="A395" t="s">
        <v>35</v>
      </c>
      <c r="B395" t="s">
        <v>50</v>
      </c>
      <c r="C395">
        <v>6</v>
      </c>
      <c r="D395">
        <v>0</v>
      </c>
    </row>
    <row r="396" spans="1:4" x14ac:dyDescent="0.2">
      <c r="A396" t="s">
        <v>36</v>
      </c>
      <c r="B396" t="s">
        <v>50</v>
      </c>
      <c r="C396">
        <v>6</v>
      </c>
      <c r="D396">
        <v>2</v>
      </c>
    </row>
    <row r="397" spans="1:4" x14ac:dyDescent="0.2">
      <c r="A397" t="s">
        <v>37</v>
      </c>
      <c r="B397" t="s">
        <v>50</v>
      </c>
      <c r="C397">
        <v>6</v>
      </c>
      <c r="D397">
        <v>1</v>
      </c>
    </row>
    <row r="398" spans="1:4" x14ac:dyDescent="0.2">
      <c r="A398" t="s">
        <v>38</v>
      </c>
      <c r="B398" t="s">
        <v>50</v>
      </c>
      <c r="C398">
        <v>6</v>
      </c>
      <c r="D398">
        <v>3</v>
      </c>
    </row>
    <row r="399" spans="1:4" x14ac:dyDescent="0.2">
      <c r="A399" t="s">
        <v>39</v>
      </c>
      <c r="B399" t="s">
        <v>50</v>
      </c>
      <c r="C399">
        <v>6</v>
      </c>
      <c r="D399">
        <v>0</v>
      </c>
    </row>
    <row r="400" spans="1:4" x14ac:dyDescent="0.2">
      <c r="A400" t="s">
        <v>84</v>
      </c>
      <c r="B400" t="s">
        <v>50</v>
      </c>
      <c r="C400">
        <v>6</v>
      </c>
      <c r="D400" s="12">
        <v>0.19166666666666665</v>
      </c>
    </row>
    <row r="401" spans="1:4" x14ac:dyDescent="0.2">
      <c r="A401" t="s">
        <v>85</v>
      </c>
      <c r="B401" t="s">
        <v>50</v>
      </c>
      <c r="C401">
        <v>6</v>
      </c>
      <c r="D401" s="12">
        <v>3.472222222222222E-3</v>
      </c>
    </row>
    <row r="402" spans="1:4" x14ac:dyDescent="0.2">
      <c r="A402" t="s">
        <v>32</v>
      </c>
      <c r="B402" t="s">
        <v>53</v>
      </c>
      <c r="C402">
        <v>6</v>
      </c>
      <c r="D402">
        <v>5</v>
      </c>
    </row>
    <row r="403" spans="1:4" x14ac:dyDescent="0.2">
      <c r="A403" t="s">
        <v>33</v>
      </c>
      <c r="B403" t="s">
        <v>53</v>
      </c>
      <c r="C403">
        <v>6</v>
      </c>
      <c r="D403">
        <v>4</v>
      </c>
    </row>
    <row r="404" spans="1:4" x14ac:dyDescent="0.2">
      <c r="A404" t="s">
        <v>34</v>
      </c>
      <c r="B404" t="s">
        <v>53</v>
      </c>
      <c r="C404">
        <v>6</v>
      </c>
      <c r="D404">
        <v>0</v>
      </c>
    </row>
    <row r="405" spans="1:4" x14ac:dyDescent="0.2">
      <c r="A405" t="s">
        <v>35</v>
      </c>
      <c r="B405" t="s">
        <v>53</v>
      </c>
      <c r="C405">
        <v>6</v>
      </c>
      <c r="D405">
        <v>2</v>
      </c>
    </row>
    <row r="406" spans="1:4" x14ac:dyDescent="0.2">
      <c r="A406" t="s">
        <v>36</v>
      </c>
      <c r="B406" t="s">
        <v>53</v>
      </c>
      <c r="C406">
        <v>6</v>
      </c>
      <c r="D406">
        <v>2</v>
      </c>
    </row>
    <row r="407" spans="1:4" x14ac:dyDescent="0.2">
      <c r="A407" t="s">
        <v>37</v>
      </c>
      <c r="B407" t="s">
        <v>53</v>
      </c>
      <c r="C407">
        <v>6</v>
      </c>
      <c r="D407">
        <v>0</v>
      </c>
    </row>
    <row r="408" spans="1:4" x14ac:dyDescent="0.2">
      <c r="A408" t="s">
        <v>38</v>
      </c>
      <c r="B408" t="s">
        <v>53</v>
      </c>
      <c r="C408">
        <v>6</v>
      </c>
      <c r="D408">
        <v>1</v>
      </c>
    </row>
    <row r="409" spans="1:4" x14ac:dyDescent="0.2">
      <c r="A409" t="s">
        <v>39</v>
      </c>
      <c r="B409" t="s">
        <v>53</v>
      </c>
      <c r="C409">
        <v>6</v>
      </c>
      <c r="D409">
        <v>0</v>
      </c>
    </row>
    <row r="410" spans="1:4" x14ac:dyDescent="0.2">
      <c r="A410" t="s">
        <v>84</v>
      </c>
      <c r="B410" t="s">
        <v>53</v>
      </c>
      <c r="C410">
        <v>6</v>
      </c>
      <c r="D410" s="12">
        <v>0.19166666666666665</v>
      </c>
    </row>
    <row r="411" spans="1:4" x14ac:dyDescent="0.2">
      <c r="A411" t="s">
        <v>85</v>
      </c>
      <c r="B411" t="s">
        <v>53</v>
      </c>
      <c r="C411">
        <v>6</v>
      </c>
      <c r="D411" s="12">
        <v>0.27152777777777776</v>
      </c>
    </row>
    <row r="412" spans="1:4" x14ac:dyDescent="0.2">
      <c r="A412" t="s">
        <v>32</v>
      </c>
      <c r="B412" t="s">
        <v>83</v>
      </c>
      <c r="C412">
        <v>6</v>
      </c>
      <c r="D412">
        <v>1</v>
      </c>
    </row>
    <row r="413" spans="1:4" x14ac:dyDescent="0.2">
      <c r="A413" t="s">
        <v>33</v>
      </c>
      <c r="B413" t="s">
        <v>83</v>
      </c>
      <c r="C413">
        <v>6</v>
      </c>
      <c r="D413">
        <v>1</v>
      </c>
    </row>
    <row r="414" spans="1:4" x14ac:dyDescent="0.2">
      <c r="A414" t="s">
        <v>34</v>
      </c>
      <c r="B414" t="s">
        <v>83</v>
      </c>
      <c r="C414">
        <v>6</v>
      </c>
      <c r="D414">
        <v>0</v>
      </c>
    </row>
    <row r="415" spans="1:4" x14ac:dyDescent="0.2">
      <c r="A415" t="s">
        <v>35</v>
      </c>
      <c r="B415" t="s">
        <v>83</v>
      </c>
      <c r="C415">
        <v>6</v>
      </c>
      <c r="D415">
        <v>0</v>
      </c>
    </row>
    <row r="416" spans="1:4" x14ac:dyDescent="0.2">
      <c r="A416" t="s">
        <v>36</v>
      </c>
      <c r="B416" t="s">
        <v>83</v>
      </c>
      <c r="C416">
        <v>6</v>
      </c>
      <c r="D416">
        <v>1</v>
      </c>
    </row>
    <row r="417" spans="1:4" x14ac:dyDescent="0.2">
      <c r="A417" t="s">
        <v>37</v>
      </c>
      <c r="B417" t="s">
        <v>83</v>
      </c>
      <c r="C417">
        <v>6</v>
      </c>
      <c r="D417">
        <v>0</v>
      </c>
    </row>
    <row r="418" spans="1:4" x14ac:dyDescent="0.2">
      <c r="A418" t="s">
        <v>38</v>
      </c>
      <c r="B418" t="s">
        <v>83</v>
      </c>
      <c r="C418">
        <v>6</v>
      </c>
      <c r="D418">
        <v>0</v>
      </c>
    </row>
    <row r="419" spans="1:4" x14ac:dyDescent="0.2">
      <c r="A419" t="s">
        <v>39</v>
      </c>
      <c r="B419" t="s">
        <v>83</v>
      </c>
      <c r="C419">
        <v>6</v>
      </c>
      <c r="D419">
        <v>0</v>
      </c>
    </row>
    <row r="420" spans="1:4" x14ac:dyDescent="0.2">
      <c r="A420" t="s">
        <v>84</v>
      </c>
      <c r="B420" t="s">
        <v>83</v>
      </c>
      <c r="C420">
        <v>6</v>
      </c>
      <c r="D420" s="12">
        <v>4.1666666666666666E-3</v>
      </c>
    </row>
    <row r="421" spans="1:4" x14ac:dyDescent="0.2">
      <c r="A421" t="s">
        <v>85</v>
      </c>
      <c r="B421" t="s">
        <v>83</v>
      </c>
      <c r="C421">
        <v>6</v>
      </c>
      <c r="D421" s="12">
        <v>3.472222222222222E-3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L151"/>
  <sheetViews>
    <sheetView workbookViewId="0">
      <selection activeCell="E1" sqref="E1:E1048576"/>
    </sheetView>
  </sheetViews>
  <sheetFormatPr baseColWidth="10" defaultColWidth="23.83203125" defaultRowHeight="16" x14ac:dyDescent="0.2"/>
  <sheetData>
    <row r="1" spans="1:12" ht="29" x14ac:dyDescent="0.2">
      <c r="A1" s="1" t="s">
        <v>4</v>
      </c>
      <c r="B1" s="1"/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/>
      <c r="I1" s="1" t="s">
        <v>10</v>
      </c>
      <c r="J1" s="1" t="s">
        <v>11</v>
      </c>
    </row>
    <row r="2" spans="1:12" x14ac:dyDescent="0.2">
      <c r="A2" s="2" t="s">
        <v>12</v>
      </c>
      <c r="B2" s="2">
        <v>1</v>
      </c>
      <c r="C2" s="2" t="s">
        <v>13</v>
      </c>
      <c r="D2" s="2" t="s">
        <v>14</v>
      </c>
      <c r="E2" s="2" t="s">
        <v>40</v>
      </c>
      <c r="F2" s="2"/>
      <c r="G2" s="2"/>
      <c r="H2" s="2"/>
      <c r="I2" s="2" t="b">
        <v>0</v>
      </c>
      <c r="J2" s="2">
        <v>20</v>
      </c>
      <c r="K2" t="s">
        <v>83</v>
      </c>
      <c r="L2">
        <v>16</v>
      </c>
    </row>
    <row r="3" spans="1:12" x14ac:dyDescent="0.2">
      <c r="A3" s="2" t="s">
        <v>12</v>
      </c>
      <c r="B3" s="2">
        <v>1</v>
      </c>
      <c r="C3" s="2" t="s">
        <v>15</v>
      </c>
      <c r="D3" s="2" t="s">
        <v>14</v>
      </c>
      <c r="E3" s="2" t="s">
        <v>40</v>
      </c>
      <c r="F3" s="2"/>
      <c r="G3" s="2"/>
      <c r="H3" s="2"/>
      <c r="I3" s="2" t="b">
        <v>0</v>
      </c>
      <c r="J3" s="2">
        <v>60</v>
      </c>
      <c r="K3" t="s">
        <v>83</v>
      </c>
      <c r="L3">
        <v>16</v>
      </c>
    </row>
    <row r="4" spans="1:12" ht="27" x14ac:dyDescent="0.2">
      <c r="A4" s="2" t="s">
        <v>12</v>
      </c>
      <c r="B4" s="2">
        <v>1</v>
      </c>
      <c r="C4" s="2" t="s">
        <v>16</v>
      </c>
      <c r="D4" s="2" t="s">
        <v>14</v>
      </c>
      <c r="E4" s="2" t="s">
        <v>40</v>
      </c>
      <c r="F4" s="2"/>
      <c r="G4" s="2"/>
      <c r="H4" s="2"/>
      <c r="I4" s="2" t="b">
        <v>0</v>
      </c>
      <c r="J4" s="2">
        <v>60</v>
      </c>
      <c r="K4" t="s">
        <v>83</v>
      </c>
      <c r="L4">
        <v>16</v>
      </c>
    </row>
    <row r="5" spans="1:12" x14ac:dyDescent="0.2">
      <c r="A5" s="2" t="s">
        <v>12</v>
      </c>
      <c r="B5" s="2">
        <v>1</v>
      </c>
      <c r="C5" s="2" t="s">
        <v>13</v>
      </c>
      <c r="D5" s="2" t="s">
        <v>17</v>
      </c>
      <c r="E5" s="2" t="s">
        <v>41</v>
      </c>
      <c r="F5" s="2" t="s">
        <v>42</v>
      </c>
      <c r="G5" s="2" t="s">
        <v>43</v>
      </c>
      <c r="H5" s="2"/>
      <c r="I5" s="2" t="b">
        <v>0</v>
      </c>
      <c r="J5" s="2">
        <v>20</v>
      </c>
      <c r="K5" t="s">
        <v>41</v>
      </c>
      <c r="L5">
        <v>18</v>
      </c>
    </row>
    <row r="6" spans="1:12" x14ac:dyDescent="0.2">
      <c r="A6" s="2" t="s">
        <v>12</v>
      </c>
      <c r="B6" s="2">
        <v>1</v>
      </c>
      <c r="C6" s="2" t="s">
        <v>15</v>
      </c>
      <c r="D6" s="2" t="s">
        <v>17</v>
      </c>
      <c r="E6" s="2" t="s">
        <v>41</v>
      </c>
      <c r="F6" s="2" t="s">
        <v>42</v>
      </c>
      <c r="G6" s="2" t="s">
        <v>43</v>
      </c>
      <c r="H6" s="2"/>
      <c r="I6" s="2" t="b">
        <v>0</v>
      </c>
      <c r="J6" s="2">
        <v>60</v>
      </c>
      <c r="K6" t="s">
        <v>41</v>
      </c>
      <c r="L6">
        <v>18</v>
      </c>
    </row>
    <row r="7" spans="1:12" ht="27" x14ac:dyDescent="0.2">
      <c r="A7" s="2" t="s">
        <v>12</v>
      </c>
      <c r="B7" s="2">
        <v>1</v>
      </c>
      <c r="C7" s="2" t="s">
        <v>16</v>
      </c>
      <c r="D7" s="2" t="s">
        <v>17</v>
      </c>
      <c r="E7" s="2" t="s">
        <v>41</v>
      </c>
      <c r="F7" s="2" t="s">
        <v>42</v>
      </c>
      <c r="G7" s="2" t="s">
        <v>43</v>
      </c>
      <c r="H7" s="2"/>
      <c r="I7" s="2" t="b">
        <v>0</v>
      </c>
      <c r="J7" s="2">
        <v>60</v>
      </c>
      <c r="K7" t="s">
        <v>41</v>
      </c>
      <c r="L7">
        <v>18</v>
      </c>
    </row>
    <row r="8" spans="1:12" x14ac:dyDescent="0.2">
      <c r="A8" s="2" t="s">
        <v>12</v>
      </c>
      <c r="B8" s="2">
        <v>1</v>
      </c>
      <c r="C8" s="2" t="s">
        <v>13</v>
      </c>
      <c r="D8" s="2" t="s">
        <v>17</v>
      </c>
      <c r="E8" s="2" t="s">
        <v>44</v>
      </c>
      <c r="F8" s="2" t="s">
        <v>45</v>
      </c>
      <c r="G8" s="2" t="s">
        <v>46</v>
      </c>
      <c r="H8" s="2"/>
      <c r="I8" s="2" t="b">
        <v>0</v>
      </c>
      <c r="J8" s="2">
        <v>20</v>
      </c>
      <c r="K8" t="s">
        <v>44</v>
      </c>
      <c r="L8">
        <v>20</v>
      </c>
    </row>
    <row r="9" spans="1:12" x14ac:dyDescent="0.2">
      <c r="A9" s="2" t="s">
        <v>12</v>
      </c>
      <c r="B9" s="2">
        <v>1</v>
      </c>
      <c r="C9" s="2" t="s">
        <v>15</v>
      </c>
      <c r="D9" s="2" t="s">
        <v>17</v>
      </c>
      <c r="E9" s="2" t="s">
        <v>44</v>
      </c>
      <c r="F9" s="2" t="s">
        <v>45</v>
      </c>
      <c r="G9" s="2" t="s">
        <v>46</v>
      </c>
      <c r="H9" s="2"/>
      <c r="I9" s="2" t="b">
        <v>0</v>
      </c>
      <c r="J9" s="2">
        <v>60</v>
      </c>
      <c r="K9" t="s">
        <v>44</v>
      </c>
      <c r="L9">
        <v>20</v>
      </c>
    </row>
    <row r="10" spans="1:12" ht="27" x14ac:dyDescent="0.2">
      <c r="A10" s="2" t="s">
        <v>12</v>
      </c>
      <c r="B10" s="2">
        <v>1</v>
      </c>
      <c r="C10" s="2" t="s">
        <v>16</v>
      </c>
      <c r="D10" s="2" t="s">
        <v>17</v>
      </c>
      <c r="E10" s="2" t="s">
        <v>44</v>
      </c>
      <c r="F10" s="2" t="s">
        <v>45</v>
      </c>
      <c r="G10" s="2" t="s">
        <v>46</v>
      </c>
      <c r="H10" s="2"/>
      <c r="I10" s="2" t="b">
        <v>0</v>
      </c>
      <c r="J10" s="2">
        <v>60</v>
      </c>
      <c r="K10" t="s">
        <v>44</v>
      </c>
      <c r="L10">
        <v>20</v>
      </c>
    </row>
    <row r="11" spans="1:12" x14ac:dyDescent="0.2">
      <c r="A11" s="2" t="s">
        <v>12</v>
      </c>
      <c r="B11" s="2">
        <v>1</v>
      </c>
      <c r="C11" s="2" t="s">
        <v>13</v>
      </c>
      <c r="D11" s="2" t="s">
        <v>17</v>
      </c>
      <c r="E11" s="2" t="s">
        <v>47</v>
      </c>
      <c r="F11" s="2" t="s">
        <v>48</v>
      </c>
      <c r="G11" s="2" t="s">
        <v>49</v>
      </c>
      <c r="H11" s="2"/>
      <c r="I11" s="2" t="b">
        <v>0</v>
      </c>
      <c r="J11" s="2">
        <v>20</v>
      </c>
      <c r="K11" t="s">
        <v>47</v>
      </c>
      <c r="L11">
        <v>17</v>
      </c>
    </row>
    <row r="12" spans="1:12" x14ac:dyDescent="0.2">
      <c r="A12" s="2" t="s">
        <v>12</v>
      </c>
      <c r="B12" s="2">
        <v>1</v>
      </c>
      <c r="C12" s="2" t="s">
        <v>15</v>
      </c>
      <c r="D12" s="2" t="s">
        <v>17</v>
      </c>
      <c r="E12" s="2" t="s">
        <v>47</v>
      </c>
      <c r="F12" s="2" t="s">
        <v>48</v>
      </c>
      <c r="G12" s="2" t="s">
        <v>49</v>
      </c>
      <c r="H12" s="2"/>
      <c r="I12" s="2" t="b">
        <v>0</v>
      </c>
      <c r="J12" s="2">
        <v>60</v>
      </c>
      <c r="K12" t="s">
        <v>47</v>
      </c>
      <c r="L12">
        <v>17</v>
      </c>
    </row>
    <row r="13" spans="1:12" ht="27" x14ac:dyDescent="0.2">
      <c r="A13" s="2" t="s">
        <v>12</v>
      </c>
      <c r="B13" s="2">
        <v>1</v>
      </c>
      <c r="C13" s="2" t="s">
        <v>16</v>
      </c>
      <c r="D13" s="2" t="s">
        <v>17</v>
      </c>
      <c r="E13" s="2" t="s">
        <v>47</v>
      </c>
      <c r="F13" s="2" t="s">
        <v>48</v>
      </c>
      <c r="G13" s="2" t="s">
        <v>49</v>
      </c>
      <c r="H13" s="2"/>
      <c r="I13" s="2" t="b">
        <v>0</v>
      </c>
      <c r="J13" s="2">
        <v>60</v>
      </c>
      <c r="K13" t="s">
        <v>47</v>
      </c>
      <c r="L13">
        <v>17</v>
      </c>
    </row>
    <row r="14" spans="1:12" x14ac:dyDescent="0.2">
      <c r="A14" s="2" t="s">
        <v>12</v>
      </c>
      <c r="B14" s="2">
        <v>1</v>
      </c>
      <c r="C14" s="2" t="s">
        <v>13</v>
      </c>
      <c r="D14" s="2" t="s">
        <v>17</v>
      </c>
      <c r="E14" s="2" t="s">
        <v>50</v>
      </c>
      <c r="F14" s="2" t="s">
        <v>51</v>
      </c>
      <c r="G14" s="2" t="s">
        <v>52</v>
      </c>
      <c r="H14" s="2"/>
      <c r="I14" s="2" t="b">
        <v>0</v>
      </c>
      <c r="J14" s="2">
        <v>20</v>
      </c>
      <c r="K14" t="s">
        <v>50</v>
      </c>
      <c r="L14">
        <v>14</v>
      </c>
    </row>
    <row r="15" spans="1:12" x14ac:dyDescent="0.2">
      <c r="A15" s="2" t="s">
        <v>12</v>
      </c>
      <c r="B15" s="2">
        <v>1</v>
      </c>
      <c r="C15" s="2" t="s">
        <v>15</v>
      </c>
      <c r="D15" s="2" t="s">
        <v>17</v>
      </c>
      <c r="E15" s="2" t="s">
        <v>50</v>
      </c>
      <c r="F15" s="2" t="s">
        <v>51</v>
      </c>
      <c r="G15" s="2" t="s">
        <v>52</v>
      </c>
      <c r="H15" s="2"/>
      <c r="I15" s="2" t="b">
        <v>0</v>
      </c>
      <c r="J15" s="2">
        <v>60</v>
      </c>
      <c r="K15" t="s">
        <v>50</v>
      </c>
      <c r="L15">
        <v>14</v>
      </c>
    </row>
    <row r="16" spans="1:12" ht="27" x14ac:dyDescent="0.2">
      <c r="A16" s="2" t="s">
        <v>12</v>
      </c>
      <c r="B16" s="2">
        <v>1</v>
      </c>
      <c r="C16" s="2" t="s">
        <v>16</v>
      </c>
      <c r="D16" s="2" t="s">
        <v>17</v>
      </c>
      <c r="E16" s="2" t="s">
        <v>50</v>
      </c>
      <c r="F16" s="2" t="s">
        <v>51</v>
      </c>
      <c r="G16" s="2" t="s">
        <v>52</v>
      </c>
      <c r="H16" s="2"/>
      <c r="I16" s="2" t="b">
        <v>0</v>
      </c>
      <c r="J16" s="2">
        <v>60</v>
      </c>
      <c r="K16" t="s">
        <v>50</v>
      </c>
      <c r="L16">
        <v>14</v>
      </c>
    </row>
    <row r="17" spans="1:12" x14ac:dyDescent="0.2">
      <c r="A17" s="2" t="s">
        <v>12</v>
      </c>
      <c r="B17" s="2">
        <v>1</v>
      </c>
      <c r="C17" s="2" t="s">
        <v>13</v>
      </c>
      <c r="D17" s="2" t="s">
        <v>17</v>
      </c>
      <c r="E17" s="2" t="s">
        <v>53</v>
      </c>
      <c r="F17" s="2" t="s">
        <v>54</v>
      </c>
      <c r="G17" s="2" t="s">
        <v>55</v>
      </c>
      <c r="H17" s="2"/>
      <c r="I17" s="2" t="b">
        <v>0</v>
      </c>
      <c r="J17" s="2">
        <v>20</v>
      </c>
      <c r="K17" t="s">
        <v>53</v>
      </c>
      <c r="L17">
        <v>19</v>
      </c>
    </row>
    <row r="18" spans="1:12" x14ac:dyDescent="0.2">
      <c r="A18" s="2" t="s">
        <v>12</v>
      </c>
      <c r="B18" s="2">
        <v>1</v>
      </c>
      <c r="C18" s="2" t="s">
        <v>15</v>
      </c>
      <c r="D18" s="2" t="s">
        <v>17</v>
      </c>
      <c r="E18" s="2" t="s">
        <v>53</v>
      </c>
      <c r="F18" s="2" t="s">
        <v>54</v>
      </c>
      <c r="G18" s="2" t="s">
        <v>55</v>
      </c>
      <c r="H18" s="2"/>
      <c r="I18" s="2" t="b">
        <v>0</v>
      </c>
      <c r="J18" s="2">
        <v>60</v>
      </c>
      <c r="K18" t="s">
        <v>53</v>
      </c>
      <c r="L18">
        <v>19</v>
      </c>
    </row>
    <row r="19" spans="1:12" ht="27" x14ac:dyDescent="0.2">
      <c r="A19" s="2" t="s">
        <v>12</v>
      </c>
      <c r="B19" s="2">
        <v>1</v>
      </c>
      <c r="C19" s="2" t="s">
        <v>16</v>
      </c>
      <c r="D19" s="2" t="s">
        <v>17</v>
      </c>
      <c r="E19" s="2" t="s">
        <v>53</v>
      </c>
      <c r="F19" s="2" t="s">
        <v>54</v>
      </c>
      <c r="G19" s="2" t="s">
        <v>55</v>
      </c>
      <c r="H19" s="2"/>
      <c r="I19" s="2" t="b">
        <v>0</v>
      </c>
      <c r="J19" s="2">
        <v>60</v>
      </c>
      <c r="K19" t="s">
        <v>53</v>
      </c>
      <c r="L19">
        <v>19</v>
      </c>
    </row>
    <row r="20" spans="1:12" ht="27" x14ac:dyDescent="0.2">
      <c r="A20" s="2" t="s">
        <v>18</v>
      </c>
      <c r="B20" s="2">
        <v>2</v>
      </c>
      <c r="C20" s="2" t="s">
        <v>19</v>
      </c>
      <c r="D20" s="2" t="s">
        <v>14</v>
      </c>
      <c r="E20" s="2" t="s">
        <v>40</v>
      </c>
      <c r="F20" s="2"/>
      <c r="G20" s="2"/>
      <c r="H20" s="2"/>
      <c r="I20" s="2" t="b">
        <v>0</v>
      </c>
      <c r="J20" s="2">
        <v>10</v>
      </c>
      <c r="K20" t="s">
        <v>83</v>
      </c>
      <c r="L20">
        <v>16</v>
      </c>
    </row>
    <row r="21" spans="1:12" ht="27" x14ac:dyDescent="0.2">
      <c r="A21" s="2" t="s">
        <v>18</v>
      </c>
      <c r="B21" s="2">
        <v>2</v>
      </c>
      <c r="C21" s="2" t="s">
        <v>20</v>
      </c>
      <c r="D21" s="2" t="s">
        <v>14</v>
      </c>
      <c r="E21" s="2" t="s">
        <v>40</v>
      </c>
      <c r="F21" s="2"/>
      <c r="G21" s="2"/>
      <c r="H21" s="2"/>
      <c r="I21" s="2" t="b">
        <v>0</v>
      </c>
      <c r="J21" s="2">
        <v>20</v>
      </c>
      <c r="K21" t="s">
        <v>83</v>
      </c>
      <c r="L21">
        <v>16</v>
      </c>
    </row>
    <row r="22" spans="1:12" ht="27" x14ac:dyDescent="0.2">
      <c r="A22" s="2" t="s">
        <v>18</v>
      </c>
      <c r="B22" s="2">
        <v>2</v>
      </c>
      <c r="C22" s="2" t="s">
        <v>19</v>
      </c>
      <c r="D22" s="2" t="s">
        <v>17</v>
      </c>
      <c r="E22" s="2" t="s">
        <v>41</v>
      </c>
      <c r="F22" s="2" t="s">
        <v>42</v>
      </c>
      <c r="G22" s="2" t="s">
        <v>43</v>
      </c>
      <c r="H22" s="2"/>
      <c r="I22" s="2" t="b">
        <v>1</v>
      </c>
      <c r="J22" s="2">
        <v>10</v>
      </c>
      <c r="K22" t="s">
        <v>41</v>
      </c>
      <c r="L22">
        <v>18</v>
      </c>
    </row>
    <row r="23" spans="1:12" ht="27" x14ac:dyDescent="0.2">
      <c r="A23" s="2" t="s">
        <v>18</v>
      </c>
      <c r="B23" s="2">
        <v>2</v>
      </c>
      <c r="C23" s="2" t="s">
        <v>20</v>
      </c>
      <c r="D23" s="2" t="s">
        <v>17</v>
      </c>
      <c r="E23" s="2" t="s">
        <v>41</v>
      </c>
      <c r="F23" s="2" t="s">
        <v>42</v>
      </c>
      <c r="G23" s="2" t="s">
        <v>43</v>
      </c>
      <c r="H23" s="2"/>
      <c r="I23" s="2" t="b">
        <v>1</v>
      </c>
      <c r="J23" s="2">
        <v>20</v>
      </c>
      <c r="K23" t="s">
        <v>41</v>
      </c>
      <c r="L23">
        <v>18</v>
      </c>
    </row>
    <row r="24" spans="1:12" ht="66" x14ac:dyDescent="0.2">
      <c r="A24" s="2" t="s">
        <v>18</v>
      </c>
      <c r="B24" s="2">
        <v>2</v>
      </c>
      <c r="C24" s="2" t="s">
        <v>21</v>
      </c>
      <c r="D24" s="2" t="s">
        <v>17</v>
      </c>
      <c r="E24" s="2" t="s">
        <v>56</v>
      </c>
      <c r="F24" s="2" t="s">
        <v>54</v>
      </c>
      <c r="G24" s="2" t="s">
        <v>55</v>
      </c>
      <c r="H24" s="2"/>
      <c r="I24" s="2" t="b">
        <v>1</v>
      </c>
      <c r="J24" s="2">
        <v>90</v>
      </c>
      <c r="K24" t="s">
        <v>53</v>
      </c>
      <c r="L24">
        <v>109</v>
      </c>
    </row>
    <row r="25" spans="1:12" ht="71" x14ac:dyDescent="0.2">
      <c r="A25" s="2" t="s">
        <v>18</v>
      </c>
      <c r="B25" s="2">
        <v>2</v>
      </c>
      <c r="C25" s="2" t="s">
        <v>22</v>
      </c>
      <c r="D25" s="2" t="s">
        <v>17</v>
      </c>
      <c r="E25" s="2" t="s">
        <v>56</v>
      </c>
      <c r="F25" s="2" t="s">
        <v>54</v>
      </c>
      <c r="G25" s="2" t="s">
        <v>55</v>
      </c>
      <c r="H25" s="2"/>
      <c r="I25" s="2" t="b">
        <v>1</v>
      </c>
      <c r="J25" s="2">
        <v>360</v>
      </c>
      <c r="K25" t="s">
        <v>53</v>
      </c>
      <c r="L25">
        <v>109</v>
      </c>
    </row>
    <row r="26" spans="1:12" ht="71" x14ac:dyDescent="0.2">
      <c r="A26" s="2" t="s">
        <v>18</v>
      </c>
      <c r="B26" s="2">
        <v>2</v>
      </c>
      <c r="C26" s="2" t="s">
        <v>23</v>
      </c>
      <c r="D26" s="2" t="s">
        <v>17</v>
      </c>
      <c r="E26" s="2" t="s">
        <v>56</v>
      </c>
      <c r="F26" s="2" t="s">
        <v>54</v>
      </c>
      <c r="G26" s="2" t="s">
        <v>55</v>
      </c>
      <c r="H26" s="2"/>
      <c r="I26" s="2" t="b">
        <v>1</v>
      </c>
      <c r="J26" s="2">
        <v>30</v>
      </c>
      <c r="K26" t="s">
        <v>53</v>
      </c>
      <c r="L26">
        <v>109</v>
      </c>
    </row>
    <row r="27" spans="1:12" ht="29" x14ac:dyDescent="0.2">
      <c r="A27" s="2" t="s">
        <v>18</v>
      </c>
      <c r="B27" s="2">
        <v>2</v>
      </c>
      <c r="C27" s="2" t="s">
        <v>19</v>
      </c>
      <c r="D27" s="2" t="s">
        <v>17</v>
      </c>
      <c r="E27" s="2" t="s">
        <v>44</v>
      </c>
      <c r="F27" s="2" t="s">
        <v>45</v>
      </c>
      <c r="G27" s="2" t="s">
        <v>46</v>
      </c>
      <c r="H27" s="2"/>
      <c r="I27" s="2" t="b">
        <v>1</v>
      </c>
      <c r="J27" s="2">
        <v>10</v>
      </c>
      <c r="K27" t="s">
        <v>44</v>
      </c>
      <c r="L27">
        <v>20</v>
      </c>
    </row>
    <row r="28" spans="1:12" ht="29" x14ac:dyDescent="0.2">
      <c r="A28" s="2" t="s">
        <v>18</v>
      </c>
      <c r="B28" s="2">
        <v>2</v>
      </c>
      <c r="C28" s="2" t="s">
        <v>20</v>
      </c>
      <c r="D28" s="2" t="s">
        <v>17</v>
      </c>
      <c r="E28" s="2" t="s">
        <v>44</v>
      </c>
      <c r="F28" s="2" t="s">
        <v>45</v>
      </c>
      <c r="G28" s="2" t="s">
        <v>46</v>
      </c>
      <c r="H28" s="2"/>
      <c r="I28" s="2" t="b">
        <v>1</v>
      </c>
      <c r="J28" s="2">
        <v>20</v>
      </c>
      <c r="K28" t="s">
        <v>44</v>
      </c>
      <c r="L28">
        <v>20</v>
      </c>
    </row>
    <row r="29" spans="1:12" ht="29" x14ac:dyDescent="0.2">
      <c r="A29" s="2" t="s">
        <v>18</v>
      </c>
      <c r="B29" s="2">
        <v>2</v>
      </c>
      <c r="C29" s="2" t="s">
        <v>19</v>
      </c>
      <c r="D29" s="2" t="s">
        <v>17</v>
      </c>
      <c r="E29" s="2" t="s">
        <v>47</v>
      </c>
      <c r="F29" s="2" t="s">
        <v>48</v>
      </c>
      <c r="G29" s="2" t="s">
        <v>49</v>
      </c>
      <c r="H29" s="2"/>
      <c r="I29" s="2" t="b">
        <v>1</v>
      </c>
      <c r="J29" s="2">
        <v>10</v>
      </c>
      <c r="K29" t="s">
        <v>47</v>
      </c>
      <c r="L29">
        <v>17</v>
      </c>
    </row>
    <row r="30" spans="1:12" ht="29" x14ac:dyDescent="0.2">
      <c r="A30" s="2" t="s">
        <v>18</v>
      </c>
      <c r="B30" s="2">
        <v>2</v>
      </c>
      <c r="C30" s="2" t="s">
        <v>20</v>
      </c>
      <c r="D30" s="2" t="s">
        <v>17</v>
      </c>
      <c r="E30" s="2" t="s">
        <v>47</v>
      </c>
      <c r="F30" s="2" t="s">
        <v>48</v>
      </c>
      <c r="G30" s="2" t="s">
        <v>49</v>
      </c>
      <c r="H30" s="2"/>
      <c r="I30" s="2" t="b">
        <v>1</v>
      </c>
      <c r="J30" s="2">
        <v>20</v>
      </c>
      <c r="K30" t="s">
        <v>47</v>
      </c>
      <c r="L30">
        <v>17</v>
      </c>
    </row>
    <row r="31" spans="1:12" ht="29" x14ac:dyDescent="0.2">
      <c r="A31" s="2" t="s">
        <v>18</v>
      </c>
      <c r="B31" s="2">
        <v>2</v>
      </c>
      <c r="C31" s="2" t="s">
        <v>19</v>
      </c>
      <c r="D31" s="2" t="s">
        <v>17</v>
      </c>
      <c r="E31" s="2" t="s">
        <v>50</v>
      </c>
      <c r="F31" s="2" t="s">
        <v>51</v>
      </c>
      <c r="G31" s="2" t="s">
        <v>52</v>
      </c>
      <c r="H31" s="2"/>
      <c r="I31" s="2" t="b">
        <v>1</v>
      </c>
      <c r="J31" s="2">
        <v>10</v>
      </c>
      <c r="K31" t="s">
        <v>50</v>
      </c>
      <c r="L31">
        <v>14</v>
      </c>
    </row>
    <row r="32" spans="1:12" ht="29" x14ac:dyDescent="0.2">
      <c r="A32" s="2" t="s">
        <v>18</v>
      </c>
      <c r="B32" s="2">
        <v>2</v>
      </c>
      <c r="C32" s="2" t="s">
        <v>20</v>
      </c>
      <c r="D32" s="2" t="s">
        <v>17</v>
      </c>
      <c r="E32" s="2" t="s">
        <v>50</v>
      </c>
      <c r="F32" s="2" t="s">
        <v>51</v>
      </c>
      <c r="G32" s="2" t="s">
        <v>52</v>
      </c>
      <c r="H32" s="2"/>
      <c r="I32" s="2" t="b">
        <v>1</v>
      </c>
      <c r="J32" s="2">
        <v>20</v>
      </c>
      <c r="K32" t="s">
        <v>50</v>
      </c>
      <c r="L32">
        <v>14</v>
      </c>
    </row>
    <row r="33" spans="1:12" ht="29" x14ac:dyDescent="0.2">
      <c r="A33" s="2" t="s">
        <v>18</v>
      </c>
      <c r="B33" s="2">
        <v>2</v>
      </c>
      <c r="C33" s="2" t="s">
        <v>19</v>
      </c>
      <c r="D33" s="2" t="s">
        <v>17</v>
      </c>
      <c r="E33" s="2" t="s">
        <v>53</v>
      </c>
      <c r="F33" s="2" t="s">
        <v>54</v>
      </c>
      <c r="G33" s="2" t="s">
        <v>55</v>
      </c>
      <c r="H33" s="2"/>
      <c r="I33" s="2" t="b">
        <v>1</v>
      </c>
      <c r="J33" s="2">
        <v>10</v>
      </c>
      <c r="K33" t="s">
        <v>53</v>
      </c>
      <c r="L33">
        <v>19</v>
      </c>
    </row>
    <row r="34" spans="1:12" ht="29" x14ac:dyDescent="0.2">
      <c r="A34" s="2" t="s">
        <v>18</v>
      </c>
      <c r="B34" s="2">
        <v>2</v>
      </c>
      <c r="C34" s="2" t="s">
        <v>20</v>
      </c>
      <c r="D34" s="2" t="s">
        <v>17</v>
      </c>
      <c r="E34" s="2" t="s">
        <v>53</v>
      </c>
      <c r="F34" s="2" t="s">
        <v>54</v>
      </c>
      <c r="G34" s="2" t="s">
        <v>55</v>
      </c>
      <c r="H34" s="2"/>
      <c r="I34" s="2" t="b">
        <v>1</v>
      </c>
      <c r="J34" s="2">
        <v>20</v>
      </c>
      <c r="K34" t="s">
        <v>53</v>
      </c>
      <c r="L34">
        <v>19</v>
      </c>
    </row>
    <row r="35" spans="1:12" ht="57" x14ac:dyDescent="0.2">
      <c r="A35" s="2" t="s">
        <v>24</v>
      </c>
      <c r="B35" s="2">
        <v>3</v>
      </c>
      <c r="C35" s="2" t="s">
        <v>82</v>
      </c>
      <c r="D35" s="2" t="s">
        <v>14</v>
      </c>
      <c r="E35" s="2" t="s">
        <v>41</v>
      </c>
      <c r="F35" s="2"/>
      <c r="G35" s="2"/>
      <c r="H35" s="2"/>
      <c r="I35" s="2" t="b">
        <v>0</v>
      </c>
      <c r="J35" s="2">
        <v>60</v>
      </c>
      <c r="K35" t="s">
        <v>83</v>
      </c>
      <c r="L35">
        <v>18</v>
      </c>
    </row>
    <row r="36" spans="1:12" ht="29" x14ac:dyDescent="0.2">
      <c r="A36" s="2" t="s">
        <v>24</v>
      </c>
      <c r="B36" s="2">
        <v>3</v>
      </c>
      <c r="C36" s="2" t="s">
        <v>60</v>
      </c>
      <c r="D36" s="2" t="s">
        <v>14</v>
      </c>
      <c r="E36" s="2" t="s">
        <v>44</v>
      </c>
      <c r="F36" s="2"/>
      <c r="G36" s="2"/>
      <c r="H36" s="2"/>
      <c r="I36" s="2" t="b">
        <v>0</v>
      </c>
      <c r="J36" s="2">
        <v>60</v>
      </c>
      <c r="K36" t="s">
        <v>83</v>
      </c>
      <c r="L36">
        <v>20</v>
      </c>
    </row>
    <row r="37" spans="1:12" ht="43" x14ac:dyDescent="0.2">
      <c r="A37" s="2" t="s">
        <v>24</v>
      </c>
      <c r="B37" s="2">
        <v>3</v>
      </c>
      <c r="C37" s="2" t="s">
        <v>61</v>
      </c>
      <c r="D37" s="2" t="s">
        <v>14</v>
      </c>
      <c r="E37" s="2" t="s">
        <v>44</v>
      </c>
      <c r="F37" s="2"/>
      <c r="G37" s="2"/>
      <c r="H37" s="2"/>
      <c r="I37" s="2" t="b">
        <v>0</v>
      </c>
      <c r="J37" s="2">
        <v>60</v>
      </c>
      <c r="K37" t="s">
        <v>83</v>
      </c>
      <c r="L37">
        <v>20</v>
      </c>
    </row>
    <row r="38" spans="1:12" ht="29" x14ac:dyDescent="0.2">
      <c r="A38" s="2" t="s">
        <v>24</v>
      </c>
      <c r="B38" s="2">
        <v>3</v>
      </c>
      <c r="C38" s="2" t="s">
        <v>66</v>
      </c>
      <c r="D38" s="2" t="s">
        <v>14</v>
      </c>
      <c r="E38" s="2" t="s">
        <v>40</v>
      </c>
      <c r="F38" s="2"/>
      <c r="G38" s="2"/>
      <c r="H38" s="2"/>
      <c r="I38" s="2" t="b">
        <v>0</v>
      </c>
      <c r="J38" s="2">
        <v>60</v>
      </c>
      <c r="K38" t="s">
        <v>83</v>
      </c>
      <c r="L38">
        <v>16</v>
      </c>
    </row>
    <row r="39" spans="1:12" ht="43" x14ac:dyDescent="0.2">
      <c r="A39" s="2" t="s">
        <v>24</v>
      </c>
      <c r="B39" s="2">
        <v>3</v>
      </c>
      <c r="C39" s="2" t="s">
        <v>67</v>
      </c>
      <c r="D39" s="2" t="s">
        <v>14</v>
      </c>
      <c r="E39" s="2" t="s">
        <v>40</v>
      </c>
      <c r="F39" s="2"/>
      <c r="G39" s="2"/>
      <c r="H39" s="2"/>
      <c r="I39" s="2" t="b">
        <v>0</v>
      </c>
      <c r="J39" s="2">
        <v>60</v>
      </c>
      <c r="K39" t="s">
        <v>83</v>
      </c>
      <c r="L39">
        <v>16</v>
      </c>
    </row>
    <row r="40" spans="1:12" ht="43" x14ac:dyDescent="0.2">
      <c r="A40" s="2" t="s">
        <v>24</v>
      </c>
      <c r="B40" s="2">
        <v>3</v>
      </c>
      <c r="C40" s="2" t="s">
        <v>69</v>
      </c>
      <c r="D40" s="2" t="s">
        <v>14</v>
      </c>
      <c r="E40" s="2" t="s">
        <v>50</v>
      </c>
      <c r="F40" s="2"/>
      <c r="G40" s="2"/>
      <c r="H40" s="2"/>
      <c r="I40" s="2" t="b">
        <v>0</v>
      </c>
      <c r="J40" s="2">
        <v>60</v>
      </c>
      <c r="K40" t="s">
        <v>83</v>
      </c>
      <c r="L40">
        <v>14</v>
      </c>
    </row>
    <row r="41" spans="1:12" ht="43" x14ac:dyDescent="0.2">
      <c r="A41" s="2" t="s">
        <v>24</v>
      </c>
      <c r="B41" s="2">
        <v>3</v>
      </c>
      <c r="C41" s="2" t="s">
        <v>71</v>
      </c>
      <c r="D41" s="2" t="s">
        <v>14</v>
      </c>
      <c r="E41" s="2" t="s">
        <v>53</v>
      </c>
      <c r="F41" s="2"/>
      <c r="G41" s="2"/>
      <c r="H41" s="2"/>
      <c r="I41" s="2" t="b">
        <v>0</v>
      </c>
      <c r="J41" s="2">
        <v>60</v>
      </c>
      <c r="K41" t="s">
        <v>83</v>
      </c>
      <c r="L41">
        <v>19</v>
      </c>
    </row>
    <row r="42" spans="1:12" ht="71" x14ac:dyDescent="0.2">
      <c r="A42" s="2" t="s">
        <v>24</v>
      </c>
      <c r="B42" s="2">
        <v>3</v>
      </c>
      <c r="C42" s="2" t="s">
        <v>26</v>
      </c>
      <c r="D42" s="2" t="s">
        <v>17</v>
      </c>
      <c r="E42" s="2" t="s">
        <v>56</v>
      </c>
      <c r="F42" s="2" t="s">
        <v>42</v>
      </c>
      <c r="G42" s="2" t="s">
        <v>43</v>
      </c>
      <c r="H42" s="2">
        <v>70</v>
      </c>
      <c r="I42" s="2" t="b">
        <v>0</v>
      </c>
      <c r="J42" s="2">
        <v>20</v>
      </c>
      <c r="K42" t="s">
        <v>41</v>
      </c>
      <c r="L42">
        <v>109</v>
      </c>
    </row>
    <row r="43" spans="1:12" ht="29" x14ac:dyDescent="0.2">
      <c r="A43" s="2" t="s">
        <v>24</v>
      </c>
      <c r="B43" s="2">
        <v>3</v>
      </c>
      <c r="C43" s="2" t="s">
        <v>72</v>
      </c>
      <c r="D43" s="2" t="s">
        <v>17</v>
      </c>
      <c r="E43" s="2" t="s">
        <v>41</v>
      </c>
      <c r="F43" s="2" t="s">
        <v>42</v>
      </c>
      <c r="G43" s="2" t="s">
        <v>43</v>
      </c>
      <c r="H43" s="2">
        <v>85</v>
      </c>
      <c r="I43" s="2" t="b">
        <v>1</v>
      </c>
      <c r="J43" s="2">
        <v>30</v>
      </c>
      <c r="K43" t="s">
        <v>41</v>
      </c>
      <c r="L43">
        <v>18</v>
      </c>
    </row>
    <row r="44" spans="1:12" ht="29" x14ac:dyDescent="0.2">
      <c r="A44" s="2" t="s">
        <v>24</v>
      </c>
      <c r="B44" s="2">
        <v>3</v>
      </c>
      <c r="C44" s="2" t="s">
        <v>57</v>
      </c>
      <c r="D44" s="2" t="s">
        <v>17</v>
      </c>
      <c r="E44" s="2" t="s">
        <v>41</v>
      </c>
      <c r="F44" s="2" t="s">
        <v>42</v>
      </c>
      <c r="G44" s="2" t="s">
        <v>43</v>
      </c>
      <c r="H44" s="2">
        <v>85</v>
      </c>
      <c r="I44" s="2" t="b">
        <v>0</v>
      </c>
      <c r="J44" s="2">
        <v>20</v>
      </c>
      <c r="K44" t="s">
        <v>41</v>
      </c>
      <c r="L44">
        <v>18</v>
      </c>
    </row>
    <row r="45" spans="1:12" ht="71" x14ac:dyDescent="0.2">
      <c r="A45" s="2" t="s">
        <v>24</v>
      </c>
      <c r="B45" s="2">
        <v>3</v>
      </c>
      <c r="C45" s="2" t="s">
        <v>25</v>
      </c>
      <c r="D45" s="2" t="s">
        <v>17</v>
      </c>
      <c r="E45" s="2" t="s">
        <v>56</v>
      </c>
      <c r="F45" s="2" t="s">
        <v>42</v>
      </c>
      <c r="G45" s="2" t="s">
        <v>43</v>
      </c>
      <c r="H45" s="2">
        <v>37</v>
      </c>
      <c r="I45" s="2" t="b">
        <v>0</v>
      </c>
      <c r="J45" s="2">
        <v>30</v>
      </c>
      <c r="K45" t="s">
        <v>41</v>
      </c>
      <c r="L45">
        <v>109</v>
      </c>
    </row>
    <row r="46" spans="1:12" ht="43" x14ac:dyDescent="0.2">
      <c r="A46" s="2" t="s">
        <v>24</v>
      </c>
      <c r="B46" s="2">
        <v>3</v>
      </c>
      <c r="C46" s="2" t="s">
        <v>58</v>
      </c>
      <c r="D46" s="2" t="s">
        <v>17</v>
      </c>
      <c r="E46" s="2" t="s">
        <v>41</v>
      </c>
      <c r="F46" s="2" t="s">
        <v>42</v>
      </c>
      <c r="G46" s="2" t="s">
        <v>43</v>
      </c>
      <c r="H46" s="2">
        <v>180</v>
      </c>
      <c r="I46" s="2" t="b">
        <v>1</v>
      </c>
      <c r="J46" s="2">
        <v>60</v>
      </c>
      <c r="K46" t="s">
        <v>41</v>
      </c>
      <c r="L46">
        <v>18</v>
      </c>
    </row>
    <row r="47" spans="1:12" ht="29" x14ac:dyDescent="0.2">
      <c r="A47" s="2" t="s">
        <v>24</v>
      </c>
      <c r="B47" s="2">
        <v>3</v>
      </c>
      <c r="C47" s="2" t="s">
        <v>73</v>
      </c>
      <c r="D47" s="2" t="s">
        <v>17</v>
      </c>
      <c r="E47" s="2" t="s">
        <v>44</v>
      </c>
      <c r="F47" s="2" t="s">
        <v>45</v>
      </c>
      <c r="G47" s="2" t="s">
        <v>46</v>
      </c>
      <c r="H47" s="2">
        <v>52</v>
      </c>
      <c r="I47" s="2" t="b">
        <v>1</v>
      </c>
      <c r="J47" s="2">
        <v>30</v>
      </c>
      <c r="K47" t="s">
        <v>44</v>
      </c>
      <c r="L47">
        <v>20</v>
      </c>
    </row>
    <row r="48" spans="1:12" ht="29" x14ac:dyDescent="0.2">
      <c r="A48" s="2" t="s">
        <v>24</v>
      </c>
      <c r="B48" s="2">
        <v>3</v>
      </c>
      <c r="C48" s="2" t="s">
        <v>59</v>
      </c>
      <c r="D48" s="2" t="s">
        <v>17</v>
      </c>
      <c r="E48" s="2" t="s">
        <v>44</v>
      </c>
      <c r="F48" s="2" t="s">
        <v>45</v>
      </c>
      <c r="G48" s="2" t="s">
        <v>46</v>
      </c>
      <c r="H48" s="2">
        <v>157</v>
      </c>
      <c r="I48" s="2" t="b">
        <v>0</v>
      </c>
      <c r="J48" s="2">
        <v>20</v>
      </c>
      <c r="K48" t="s">
        <v>44</v>
      </c>
      <c r="L48">
        <v>20</v>
      </c>
    </row>
    <row r="49" spans="1:12" ht="29" x14ac:dyDescent="0.2">
      <c r="A49" s="2" t="s">
        <v>24</v>
      </c>
      <c r="B49" s="2">
        <v>3</v>
      </c>
      <c r="C49" s="2" t="s">
        <v>74</v>
      </c>
      <c r="D49" s="2" t="s">
        <v>17</v>
      </c>
      <c r="E49" s="2" t="s">
        <v>47</v>
      </c>
      <c r="F49" s="2" t="s">
        <v>48</v>
      </c>
      <c r="G49" s="2" t="s">
        <v>49</v>
      </c>
      <c r="H49" s="2">
        <v>65</v>
      </c>
      <c r="I49" s="2" t="b">
        <v>1</v>
      </c>
      <c r="J49" s="2">
        <v>30</v>
      </c>
      <c r="K49" t="s">
        <v>47</v>
      </c>
      <c r="L49">
        <v>17</v>
      </c>
    </row>
    <row r="50" spans="1:12" ht="29" x14ac:dyDescent="0.2">
      <c r="A50" s="2" t="s">
        <v>24</v>
      </c>
      <c r="B50" s="2">
        <v>3</v>
      </c>
      <c r="C50" s="2" t="s">
        <v>62</v>
      </c>
      <c r="D50" s="2" t="s">
        <v>17</v>
      </c>
      <c r="E50" s="2" t="s">
        <v>47</v>
      </c>
      <c r="F50" s="2" t="s">
        <v>48</v>
      </c>
      <c r="G50" s="2" t="s">
        <v>49</v>
      </c>
      <c r="H50" s="2">
        <v>43</v>
      </c>
      <c r="I50" s="2" t="b">
        <v>0</v>
      </c>
      <c r="J50" s="2">
        <v>20</v>
      </c>
      <c r="K50" t="s">
        <v>47</v>
      </c>
      <c r="L50">
        <v>17</v>
      </c>
    </row>
    <row r="51" spans="1:12" ht="43" x14ac:dyDescent="0.2">
      <c r="A51" s="2" t="s">
        <v>24</v>
      </c>
      <c r="B51" s="2">
        <v>3</v>
      </c>
      <c r="C51" s="2" t="s">
        <v>63</v>
      </c>
      <c r="D51" s="2" t="s">
        <v>17</v>
      </c>
      <c r="E51" s="2" t="s">
        <v>47</v>
      </c>
      <c r="F51" s="2" t="s">
        <v>48</v>
      </c>
      <c r="G51" s="2" t="s">
        <v>49</v>
      </c>
      <c r="H51" s="2">
        <v>53</v>
      </c>
      <c r="I51" s="2" t="b">
        <v>1</v>
      </c>
      <c r="J51" s="2">
        <v>60</v>
      </c>
      <c r="K51" t="s">
        <v>47</v>
      </c>
      <c r="L51">
        <v>17</v>
      </c>
    </row>
    <row r="52" spans="1:12" ht="43" x14ac:dyDescent="0.2">
      <c r="A52" s="2" t="s">
        <v>24</v>
      </c>
      <c r="B52" s="2">
        <v>3</v>
      </c>
      <c r="C52" s="2" t="s">
        <v>64</v>
      </c>
      <c r="D52" s="2" t="s">
        <v>17</v>
      </c>
      <c r="E52" s="2" t="s">
        <v>47</v>
      </c>
      <c r="F52" s="2" t="s">
        <v>48</v>
      </c>
      <c r="G52" s="2" t="s">
        <v>49</v>
      </c>
      <c r="H52" s="2">
        <v>52</v>
      </c>
      <c r="I52" s="2" t="b">
        <v>0</v>
      </c>
      <c r="J52" s="2">
        <v>60</v>
      </c>
      <c r="K52" t="s">
        <v>47</v>
      </c>
      <c r="L52">
        <v>17</v>
      </c>
    </row>
    <row r="53" spans="1:12" ht="29" x14ac:dyDescent="0.2">
      <c r="A53" s="2" t="s">
        <v>24</v>
      </c>
      <c r="B53" s="2">
        <v>3</v>
      </c>
      <c r="C53" s="2" t="s">
        <v>27</v>
      </c>
      <c r="D53" s="2" t="s">
        <v>17</v>
      </c>
      <c r="E53" s="2" t="s">
        <v>47</v>
      </c>
      <c r="F53" s="2" t="s">
        <v>48</v>
      </c>
      <c r="G53" s="2" t="s">
        <v>49</v>
      </c>
      <c r="H53" s="2">
        <v>9</v>
      </c>
      <c r="I53" s="2" t="b">
        <v>0</v>
      </c>
      <c r="J53" s="2">
        <v>30</v>
      </c>
      <c r="K53" t="s">
        <v>47</v>
      </c>
      <c r="L53">
        <v>17</v>
      </c>
    </row>
    <row r="54" spans="1:12" ht="29" x14ac:dyDescent="0.2">
      <c r="A54" s="2" t="s">
        <v>24</v>
      </c>
      <c r="B54" s="2">
        <v>3</v>
      </c>
      <c r="C54" s="2" t="s">
        <v>75</v>
      </c>
      <c r="D54" s="2" t="s">
        <v>17</v>
      </c>
      <c r="E54" s="2" t="s">
        <v>40</v>
      </c>
      <c r="F54" s="2" t="s">
        <v>76</v>
      </c>
      <c r="G54" s="2" t="s">
        <v>77</v>
      </c>
      <c r="H54" s="2">
        <v>30</v>
      </c>
      <c r="I54" s="2" t="b">
        <v>1</v>
      </c>
      <c r="J54" s="2">
        <v>30</v>
      </c>
      <c r="K54" t="s">
        <v>40</v>
      </c>
      <c r="L54">
        <v>16</v>
      </c>
    </row>
    <row r="55" spans="1:12" ht="29" x14ac:dyDescent="0.2">
      <c r="A55" s="2" t="s">
        <v>24</v>
      </c>
      <c r="B55" s="2">
        <v>3</v>
      </c>
      <c r="C55" s="2" t="s">
        <v>65</v>
      </c>
      <c r="D55" s="2" t="s">
        <v>17</v>
      </c>
      <c r="E55" s="2" t="s">
        <v>40</v>
      </c>
      <c r="F55" s="2" t="s">
        <v>76</v>
      </c>
      <c r="G55" s="2" t="s">
        <v>77</v>
      </c>
      <c r="H55" s="2">
        <v>30</v>
      </c>
      <c r="I55" s="2" t="b">
        <v>0</v>
      </c>
      <c r="J55" s="2">
        <v>20</v>
      </c>
      <c r="K55" t="s">
        <v>40</v>
      </c>
      <c r="L55">
        <v>16</v>
      </c>
    </row>
    <row r="56" spans="1:12" ht="29" x14ac:dyDescent="0.2">
      <c r="A56" s="2" t="s">
        <v>24</v>
      </c>
      <c r="B56" s="2">
        <v>3</v>
      </c>
      <c r="C56" s="2" t="s">
        <v>78</v>
      </c>
      <c r="D56" s="2" t="s">
        <v>17</v>
      </c>
      <c r="E56" s="2" t="s">
        <v>50</v>
      </c>
      <c r="F56" s="2" t="s">
        <v>51</v>
      </c>
      <c r="G56" s="2" t="s">
        <v>52</v>
      </c>
      <c r="H56" s="2"/>
      <c r="I56" s="2" t="b">
        <v>1</v>
      </c>
      <c r="J56" s="2">
        <v>30</v>
      </c>
      <c r="K56" t="s">
        <v>50</v>
      </c>
      <c r="L56">
        <v>14</v>
      </c>
    </row>
    <row r="57" spans="1:12" ht="29" x14ac:dyDescent="0.2">
      <c r="A57" s="2" t="s">
        <v>24</v>
      </c>
      <c r="B57" s="2">
        <v>3</v>
      </c>
      <c r="C57" s="2" t="s">
        <v>79</v>
      </c>
      <c r="D57" s="2" t="s">
        <v>17</v>
      </c>
      <c r="E57" s="2" t="s">
        <v>50</v>
      </c>
      <c r="F57" s="2" t="s">
        <v>51</v>
      </c>
      <c r="G57" s="2" t="s">
        <v>52</v>
      </c>
      <c r="H57" s="2">
        <v>55</v>
      </c>
      <c r="I57" s="2" t="b">
        <v>1</v>
      </c>
      <c r="J57" s="2">
        <v>20</v>
      </c>
      <c r="K57" t="s">
        <v>50</v>
      </c>
      <c r="L57">
        <v>14</v>
      </c>
    </row>
    <row r="58" spans="1:12" ht="29" x14ac:dyDescent="0.2">
      <c r="A58" s="2" t="s">
        <v>24</v>
      </c>
      <c r="B58" s="2">
        <v>3</v>
      </c>
      <c r="C58" s="2" t="s">
        <v>68</v>
      </c>
      <c r="D58" s="2" t="s">
        <v>17</v>
      </c>
      <c r="E58" s="2" t="s">
        <v>50</v>
      </c>
      <c r="F58" s="2" t="s">
        <v>51</v>
      </c>
      <c r="G58" s="2" t="s">
        <v>52</v>
      </c>
      <c r="H58" s="2"/>
      <c r="I58" s="2" t="b">
        <v>0</v>
      </c>
      <c r="J58" s="2">
        <v>60</v>
      </c>
      <c r="K58" t="s">
        <v>50</v>
      </c>
      <c r="L58">
        <v>14</v>
      </c>
    </row>
    <row r="59" spans="1:12" ht="43" x14ac:dyDescent="0.2">
      <c r="A59" s="2" t="s">
        <v>24</v>
      </c>
      <c r="B59" s="2">
        <v>3</v>
      </c>
      <c r="C59" s="2" t="s">
        <v>80</v>
      </c>
      <c r="D59" s="2" t="s">
        <v>17</v>
      </c>
      <c r="E59" s="2" t="s">
        <v>53</v>
      </c>
      <c r="F59" s="2" t="s">
        <v>54</v>
      </c>
      <c r="G59" s="2" t="s">
        <v>55</v>
      </c>
      <c r="H59" s="2">
        <v>120</v>
      </c>
      <c r="I59" s="2" t="b">
        <v>1</v>
      </c>
      <c r="J59" s="2">
        <v>30</v>
      </c>
      <c r="K59" t="s">
        <v>53</v>
      </c>
      <c r="L59">
        <v>19</v>
      </c>
    </row>
    <row r="60" spans="1:12" ht="29" x14ac:dyDescent="0.2">
      <c r="A60" s="2" t="s">
        <v>24</v>
      </c>
      <c r="B60" s="2">
        <v>3</v>
      </c>
      <c r="C60" s="2" t="s">
        <v>81</v>
      </c>
      <c r="D60" s="2" t="s">
        <v>17</v>
      </c>
      <c r="E60" s="2" t="s">
        <v>53</v>
      </c>
      <c r="F60" s="2" t="s">
        <v>54</v>
      </c>
      <c r="G60" s="2" t="s">
        <v>55</v>
      </c>
      <c r="H60" s="2">
        <v>90</v>
      </c>
      <c r="I60" s="2" t="b">
        <v>1</v>
      </c>
      <c r="J60" s="2">
        <v>20</v>
      </c>
      <c r="K60" t="s">
        <v>53</v>
      </c>
      <c r="L60">
        <v>19</v>
      </c>
    </row>
    <row r="61" spans="1:12" ht="43" x14ac:dyDescent="0.2">
      <c r="A61" s="2" t="s">
        <v>24</v>
      </c>
      <c r="B61" s="2">
        <v>3</v>
      </c>
      <c r="C61" s="2" t="s">
        <v>70</v>
      </c>
      <c r="D61" s="2" t="s">
        <v>17</v>
      </c>
      <c r="E61" s="2" t="s">
        <v>53</v>
      </c>
      <c r="F61" s="2" t="s">
        <v>54</v>
      </c>
      <c r="G61" s="2" t="s">
        <v>55</v>
      </c>
      <c r="H61" s="2">
        <v>208</v>
      </c>
      <c r="I61" s="2" t="b">
        <v>1</v>
      </c>
      <c r="J61" s="2">
        <v>60</v>
      </c>
      <c r="K61" t="s">
        <v>53</v>
      </c>
      <c r="L61">
        <v>19</v>
      </c>
    </row>
    <row r="62" spans="1:12" ht="29" x14ac:dyDescent="0.2">
      <c r="A62" s="2" t="s">
        <v>86</v>
      </c>
      <c r="B62" s="2">
        <v>4</v>
      </c>
      <c r="C62" s="2" t="s">
        <v>87</v>
      </c>
      <c r="D62" s="2" t="s">
        <v>14</v>
      </c>
      <c r="E62" s="2" t="s">
        <v>44</v>
      </c>
      <c r="F62" s="2"/>
      <c r="G62" s="2"/>
      <c r="H62" s="2"/>
      <c r="I62" s="2" t="b">
        <v>0</v>
      </c>
      <c r="J62" s="2">
        <v>30</v>
      </c>
      <c r="K62" t="s">
        <v>83</v>
      </c>
      <c r="L62">
        <v>20</v>
      </c>
    </row>
    <row r="63" spans="1:12" ht="43" x14ac:dyDescent="0.2">
      <c r="A63" s="2" t="s">
        <v>86</v>
      </c>
      <c r="B63" s="2">
        <v>4</v>
      </c>
      <c r="C63" s="2" t="s">
        <v>88</v>
      </c>
      <c r="D63" s="2" t="s">
        <v>14</v>
      </c>
      <c r="E63" s="2" t="s">
        <v>50</v>
      </c>
      <c r="F63" s="2"/>
      <c r="G63" s="2"/>
      <c r="H63" s="2">
        <v>165</v>
      </c>
      <c r="I63" s="2" t="b">
        <v>0</v>
      </c>
      <c r="J63" s="2">
        <v>120</v>
      </c>
      <c r="K63" t="s">
        <v>83</v>
      </c>
      <c r="L63">
        <v>14</v>
      </c>
    </row>
    <row r="64" spans="1:12" ht="43" x14ac:dyDescent="0.2">
      <c r="A64" s="2" t="s">
        <v>86</v>
      </c>
      <c r="B64" s="2">
        <v>4</v>
      </c>
      <c r="C64" s="2" t="s">
        <v>89</v>
      </c>
      <c r="D64" s="2" t="s">
        <v>14</v>
      </c>
      <c r="E64" s="2" t="s">
        <v>50</v>
      </c>
      <c r="F64" s="2"/>
      <c r="G64" s="2"/>
      <c r="H64" s="2"/>
      <c r="I64" s="2" t="b">
        <v>0</v>
      </c>
      <c r="J64" s="2">
        <v>120</v>
      </c>
      <c r="K64" t="s">
        <v>83</v>
      </c>
      <c r="L64">
        <v>14</v>
      </c>
    </row>
    <row r="65" spans="1:12" ht="29" x14ac:dyDescent="0.2">
      <c r="A65" s="2" t="s">
        <v>86</v>
      </c>
      <c r="B65" s="2">
        <v>4</v>
      </c>
      <c r="C65" s="2" t="s">
        <v>87</v>
      </c>
      <c r="D65" s="2" t="s">
        <v>14</v>
      </c>
      <c r="E65" s="2" t="s">
        <v>50</v>
      </c>
      <c r="F65" s="2"/>
      <c r="G65" s="2"/>
      <c r="H65" s="2"/>
      <c r="I65" s="2" t="b">
        <v>0</v>
      </c>
      <c r="J65" s="2">
        <v>30</v>
      </c>
      <c r="K65" t="s">
        <v>83</v>
      </c>
      <c r="L65">
        <v>14</v>
      </c>
    </row>
    <row r="66" spans="1:12" ht="29" x14ac:dyDescent="0.2">
      <c r="A66" s="2" t="s">
        <v>86</v>
      </c>
      <c r="B66" s="2">
        <v>4</v>
      </c>
      <c r="C66" s="2" t="s">
        <v>90</v>
      </c>
      <c r="D66" s="2" t="s">
        <v>14</v>
      </c>
      <c r="E66" s="2" t="s">
        <v>53</v>
      </c>
      <c r="F66" s="2"/>
      <c r="G66" s="2"/>
      <c r="H66" s="2"/>
      <c r="I66" s="2" t="b">
        <v>0</v>
      </c>
      <c r="J66" s="2">
        <v>30</v>
      </c>
      <c r="K66" t="s">
        <v>83</v>
      </c>
      <c r="L66">
        <v>19</v>
      </c>
    </row>
    <row r="67" spans="1:12" ht="113" x14ac:dyDescent="0.2">
      <c r="A67" s="2" t="s">
        <v>86</v>
      </c>
      <c r="B67" s="2">
        <v>4</v>
      </c>
      <c r="C67" s="2" t="s">
        <v>91</v>
      </c>
      <c r="D67" s="2" t="s">
        <v>17</v>
      </c>
      <c r="E67" s="2" t="s">
        <v>83</v>
      </c>
      <c r="F67" s="2" t="s">
        <v>48</v>
      </c>
      <c r="G67" s="2" t="s">
        <v>49</v>
      </c>
      <c r="H67" s="2"/>
      <c r="I67" s="2" t="b">
        <v>1</v>
      </c>
      <c r="J67" s="2">
        <v>0</v>
      </c>
      <c r="K67" t="s">
        <v>47</v>
      </c>
      <c r="L67">
        <v>2</v>
      </c>
    </row>
    <row r="68" spans="1:12" x14ac:dyDescent="0.2">
      <c r="A68" s="2" t="s">
        <v>86</v>
      </c>
      <c r="B68" s="2">
        <v>4</v>
      </c>
      <c r="C68" s="2" t="s">
        <v>92</v>
      </c>
      <c r="D68" s="2" t="s">
        <v>17</v>
      </c>
      <c r="E68" s="2" t="s">
        <v>83</v>
      </c>
      <c r="F68" s="2" t="s">
        <v>54</v>
      </c>
      <c r="G68" s="2" t="s">
        <v>55</v>
      </c>
      <c r="H68" s="2"/>
      <c r="I68" s="2" t="b">
        <v>1</v>
      </c>
      <c r="J68" s="2">
        <v>60</v>
      </c>
      <c r="K68" t="s">
        <v>53</v>
      </c>
      <c r="L68">
        <v>2</v>
      </c>
    </row>
    <row r="69" spans="1:12" ht="71" x14ac:dyDescent="0.2">
      <c r="A69" s="2" t="s">
        <v>86</v>
      </c>
      <c r="B69" s="2">
        <v>4</v>
      </c>
      <c r="C69" s="2" t="s">
        <v>93</v>
      </c>
      <c r="D69" s="2" t="s">
        <v>17</v>
      </c>
      <c r="E69" s="2" t="s">
        <v>56</v>
      </c>
      <c r="F69" s="2" t="s">
        <v>51</v>
      </c>
      <c r="G69" s="2" t="s">
        <v>52</v>
      </c>
      <c r="H69" s="2"/>
      <c r="I69" s="2" t="b">
        <v>0</v>
      </c>
      <c r="J69" s="2">
        <v>45</v>
      </c>
      <c r="K69" t="s">
        <v>50</v>
      </c>
      <c r="L69">
        <v>109</v>
      </c>
    </row>
    <row r="70" spans="1:12" x14ac:dyDescent="0.2">
      <c r="A70" s="2" t="s">
        <v>86</v>
      </c>
      <c r="B70" s="2">
        <v>4</v>
      </c>
      <c r="C70" s="2" t="s">
        <v>92</v>
      </c>
      <c r="D70" s="2" t="s">
        <v>17</v>
      </c>
      <c r="E70" s="2" t="s">
        <v>41</v>
      </c>
      <c r="F70" s="2" t="s">
        <v>42</v>
      </c>
      <c r="G70" s="2" t="s">
        <v>43</v>
      </c>
      <c r="H70" s="2">
        <v>60</v>
      </c>
      <c r="I70" s="2" t="b">
        <v>1</v>
      </c>
      <c r="J70" s="2">
        <v>60</v>
      </c>
      <c r="K70" t="s">
        <v>41</v>
      </c>
      <c r="L70">
        <v>18</v>
      </c>
    </row>
    <row r="71" spans="1:12" ht="71" x14ac:dyDescent="0.2">
      <c r="A71" s="2" t="s">
        <v>86</v>
      </c>
      <c r="B71" s="2">
        <v>4</v>
      </c>
      <c r="C71" s="2" t="s">
        <v>94</v>
      </c>
      <c r="D71" s="2" t="s">
        <v>17</v>
      </c>
      <c r="E71" s="2" t="s">
        <v>56</v>
      </c>
      <c r="F71" s="2" t="s">
        <v>76</v>
      </c>
      <c r="G71" s="2" t="s">
        <v>77</v>
      </c>
      <c r="H71" s="2">
        <v>132</v>
      </c>
      <c r="I71" s="2" t="b">
        <v>1</v>
      </c>
      <c r="J71" s="2">
        <v>30</v>
      </c>
      <c r="K71" t="s">
        <v>40</v>
      </c>
      <c r="L71">
        <v>109</v>
      </c>
    </row>
    <row r="72" spans="1:12" ht="29" x14ac:dyDescent="0.2">
      <c r="A72" s="2" t="s">
        <v>86</v>
      </c>
      <c r="B72" s="2">
        <v>4</v>
      </c>
      <c r="C72" s="2" t="s">
        <v>90</v>
      </c>
      <c r="D72" s="2" t="s">
        <v>17</v>
      </c>
      <c r="E72" s="2" t="s">
        <v>41</v>
      </c>
      <c r="F72" s="2" t="s">
        <v>42</v>
      </c>
      <c r="G72" s="2" t="s">
        <v>43</v>
      </c>
      <c r="H72" s="2">
        <v>44</v>
      </c>
      <c r="I72" s="2" t="b">
        <v>0</v>
      </c>
      <c r="J72" s="2">
        <v>30</v>
      </c>
      <c r="K72" t="s">
        <v>41</v>
      </c>
      <c r="L72">
        <v>18</v>
      </c>
    </row>
    <row r="73" spans="1:12" ht="57" x14ac:dyDescent="0.2">
      <c r="A73" s="2" t="s">
        <v>86</v>
      </c>
      <c r="B73" s="2">
        <v>4</v>
      </c>
      <c r="C73" s="2" t="s">
        <v>95</v>
      </c>
      <c r="D73" s="2" t="s">
        <v>17</v>
      </c>
      <c r="E73" s="2" t="s">
        <v>41</v>
      </c>
      <c r="F73" s="2" t="s">
        <v>42</v>
      </c>
      <c r="G73" s="2" t="s">
        <v>43</v>
      </c>
      <c r="H73" s="2">
        <v>240</v>
      </c>
      <c r="I73" s="2" t="b">
        <v>1</v>
      </c>
      <c r="J73" s="2">
        <v>120</v>
      </c>
      <c r="K73" t="s">
        <v>41</v>
      </c>
      <c r="L73">
        <v>18</v>
      </c>
    </row>
    <row r="74" spans="1:12" ht="43" x14ac:dyDescent="0.2">
      <c r="A74" s="2" t="s">
        <v>86</v>
      </c>
      <c r="B74" s="2">
        <v>4</v>
      </c>
      <c r="C74" s="2" t="s">
        <v>96</v>
      </c>
      <c r="D74" s="2" t="s">
        <v>17</v>
      </c>
      <c r="E74" s="2" t="s">
        <v>41</v>
      </c>
      <c r="F74" s="2" t="s">
        <v>42</v>
      </c>
      <c r="G74" s="2" t="s">
        <v>43</v>
      </c>
      <c r="H74" s="2">
        <v>60</v>
      </c>
      <c r="I74" s="2" t="b">
        <v>1</v>
      </c>
      <c r="J74" s="2">
        <v>120</v>
      </c>
      <c r="K74" t="s">
        <v>41</v>
      </c>
      <c r="L74">
        <v>18</v>
      </c>
    </row>
    <row r="75" spans="1:12" ht="29" x14ac:dyDescent="0.2">
      <c r="A75" s="2" t="s">
        <v>86</v>
      </c>
      <c r="B75" s="2">
        <v>4</v>
      </c>
      <c r="C75" s="2" t="s">
        <v>87</v>
      </c>
      <c r="D75" s="2" t="s">
        <v>17</v>
      </c>
      <c r="E75" s="2" t="s">
        <v>41</v>
      </c>
      <c r="F75" s="2" t="s">
        <v>42</v>
      </c>
      <c r="G75" s="2" t="s">
        <v>43</v>
      </c>
      <c r="H75" s="2"/>
      <c r="I75" s="2" t="b">
        <v>1</v>
      </c>
      <c r="J75" s="2">
        <v>30</v>
      </c>
      <c r="K75" t="s">
        <v>41</v>
      </c>
      <c r="L75">
        <v>18</v>
      </c>
    </row>
    <row r="76" spans="1:12" x14ac:dyDescent="0.2">
      <c r="A76" s="2" t="s">
        <v>86</v>
      </c>
      <c r="B76" s="2">
        <v>4</v>
      </c>
      <c r="C76" s="2" t="s">
        <v>92</v>
      </c>
      <c r="D76" s="2" t="s">
        <v>17</v>
      </c>
      <c r="E76" s="2" t="s">
        <v>44</v>
      </c>
      <c r="F76" s="2" t="s">
        <v>45</v>
      </c>
      <c r="G76" s="2" t="s">
        <v>46</v>
      </c>
      <c r="H76" s="2">
        <v>30</v>
      </c>
      <c r="I76" s="2" t="b">
        <v>1</v>
      </c>
      <c r="J76" s="2">
        <v>60</v>
      </c>
      <c r="K76" t="s">
        <v>44</v>
      </c>
      <c r="L76">
        <v>20</v>
      </c>
    </row>
    <row r="77" spans="1:12" ht="29" x14ac:dyDescent="0.2">
      <c r="A77" s="2" t="s">
        <v>86</v>
      </c>
      <c r="B77" s="2">
        <v>4</v>
      </c>
      <c r="C77" s="2" t="s">
        <v>90</v>
      </c>
      <c r="D77" s="2" t="s">
        <v>17</v>
      </c>
      <c r="E77" s="2" t="s">
        <v>44</v>
      </c>
      <c r="F77" s="2" t="s">
        <v>45</v>
      </c>
      <c r="G77" s="2" t="s">
        <v>46</v>
      </c>
      <c r="H77" s="2">
        <v>30</v>
      </c>
      <c r="I77" s="2" t="b">
        <v>1</v>
      </c>
      <c r="J77" s="2">
        <v>30</v>
      </c>
      <c r="K77" t="s">
        <v>44</v>
      </c>
      <c r="L77">
        <v>20</v>
      </c>
    </row>
    <row r="78" spans="1:12" ht="29" x14ac:dyDescent="0.2">
      <c r="A78" s="2" t="s">
        <v>86</v>
      </c>
      <c r="B78" s="2">
        <v>4</v>
      </c>
      <c r="C78" s="2" t="s">
        <v>97</v>
      </c>
      <c r="D78" s="2" t="s">
        <v>17</v>
      </c>
      <c r="E78" s="2" t="s">
        <v>44</v>
      </c>
      <c r="F78" s="2" t="s">
        <v>45</v>
      </c>
      <c r="G78" s="2" t="s">
        <v>46</v>
      </c>
      <c r="H78" s="2">
        <v>90</v>
      </c>
      <c r="I78" s="2" t="b">
        <v>1</v>
      </c>
      <c r="J78" s="2">
        <v>120</v>
      </c>
      <c r="K78" t="s">
        <v>44</v>
      </c>
      <c r="L78">
        <v>20</v>
      </c>
    </row>
    <row r="79" spans="1:12" ht="29" x14ac:dyDescent="0.2">
      <c r="A79" s="2" t="s">
        <v>86</v>
      </c>
      <c r="B79" s="2">
        <v>4</v>
      </c>
      <c r="C79" s="2" t="s">
        <v>98</v>
      </c>
      <c r="D79" s="2" t="s">
        <v>17</v>
      </c>
      <c r="E79" s="2" t="s">
        <v>44</v>
      </c>
      <c r="F79" s="2" t="s">
        <v>45</v>
      </c>
      <c r="G79" s="2" t="s">
        <v>46</v>
      </c>
      <c r="H79" s="2">
        <v>56</v>
      </c>
      <c r="I79" s="2" t="b">
        <v>1</v>
      </c>
      <c r="J79" s="2">
        <v>120</v>
      </c>
      <c r="K79" t="s">
        <v>44</v>
      </c>
      <c r="L79">
        <v>20</v>
      </c>
    </row>
    <row r="80" spans="1:12" x14ac:dyDescent="0.2">
      <c r="A80" s="2" t="s">
        <v>86</v>
      </c>
      <c r="B80" s="2">
        <v>4</v>
      </c>
      <c r="C80" s="2" t="s">
        <v>92</v>
      </c>
      <c r="D80" s="2" t="s">
        <v>17</v>
      </c>
      <c r="E80" s="2" t="s">
        <v>47</v>
      </c>
      <c r="F80" s="2" t="s">
        <v>48</v>
      </c>
      <c r="G80" s="2" t="s">
        <v>49</v>
      </c>
      <c r="H80" s="2">
        <v>52</v>
      </c>
      <c r="I80" s="2" t="b">
        <v>1</v>
      </c>
      <c r="J80" s="2">
        <v>60</v>
      </c>
      <c r="K80" t="s">
        <v>47</v>
      </c>
      <c r="L80">
        <v>17</v>
      </c>
    </row>
    <row r="81" spans="1:12" ht="43" x14ac:dyDescent="0.2">
      <c r="A81" s="2" t="s">
        <v>86</v>
      </c>
      <c r="B81" s="2">
        <v>4</v>
      </c>
      <c r="C81" s="2" t="s">
        <v>99</v>
      </c>
      <c r="D81" s="2" t="s">
        <v>17</v>
      </c>
      <c r="E81" s="2" t="s">
        <v>47</v>
      </c>
      <c r="F81" s="2" t="s">
        <v>48</v>
      </c>
      <c r="G81" s="2" t="s">
        <v>49</v>
      </c>
      <c r="H81" s="2">
        <v>12</v>
      </c>
      <c r="I81" s="2" t="b">
        <v>0</v>
      </c>
      <c r="J81" s="2">
        <v>30</v>
      </c>
      <c r="K81" t="s">
        <v>47</v>
      </c>
      <c r="L81">
        <v>17</v>
      </c>
    </row>
    <row r="82" spans="1:12" ht="29" x14ac:dyDescent="0.2">
      <c r="A82" s="2" t="s">
        <v>86</v>
      </c>
      <c r="B82" s="2">
        <v>4</v>
      </c>
      <c r="C82" s="2" t="s">
        <v>90</v>
      </c>
      <c r="D82" s="2" t="s">
        <v>17</v>
      </c>
      <c r="E82" s="2" t="s">
        <v>47</v>
      </c>
      <c r="F82" s="2" t="s">
        <v>48</v>
      </c>
      <c r="G82" s="2" t="s">
        <v>49</v>
      </c>
      <c r="H82" s="2">
        <v>22</v>
      </c>
      <c r="I82" s="2" t="b">
        <v>0</v>
      </c>
      <c r="J82" s="2">
        <v>30</v>
      </c>
      <c r="K82" t="s">
        <v>47</v>
      </c>
      <c r="L82">
        <v>17</v>
      </c>
    </row>
    <row r="83" spans="1:12" ht="57" x14ac:dyDescent="0.2">
      <c r="A83" s="2" t="s">
        <v>86</v>
      </c>
      <c r="B83" s="2">
        <v>4</v>
      </c>
      <c r="C83" s="2" t="s">
        <v>100</v>
      </c>
      <c r="D83" s="2" t="s">
        <v>17</v>
      </c>
      <c r="E83" s="2" t="s">
        <v>47</v>
      </c>
      <c r="F83" s="2" t="s">
        <v>48</v>
      </c>
      <c r="G83" s="2" t="s">
        <v>49</v>
      </c>
      <c r="H83" s="2">
        <v>67</v>
      </c>
      <c r="I83" s="2" t="b">
        <v>1</v>
      </c>
      <c r="J83" s="2">
        <v>120</v>
      </c>
      <c r="K83" t="s">
        <v>47</v>
      </c>
      <c r="L83">
        <v>17</v>
      </c>
    </row>
    <row r="84" spans="1:12" ht="57" x14ac:dyDescent="0.2">
      <c r="A84" s="2" t="s">
        <v>86</v>
      </c>
      <c r="B84" s="2">
        <v>4</v>
      </c>
      <c r="C84" s="2" t="s">
        <v>101</v>
      </c>
      <c r="D84" s="2" t="s">
        <v>17</v>
      </c>
      <c r="E84" s="2" t="s">
        <v>47</v>
      </c>
      <c r="F84" s="2" t="s">
        <v>48</v>
      </c>
      <c r="G84" s="2" t="s">
        <v>49</v>
      </c>
      <c r="H84" s="2">
        <v>58</v>
      </c>
      <c r="I84" s="2" t="b">
        <v>1</v>
      </c>
      <c r="J84" s="2">
        <v>120</v>
      </c>
      <c r="K84" t="s">
        <v>47</v>
      </c>
      <c r="L84">
        <v>17</v>
      </c>
    </row>
    <row r="85" spans="1:12" ht="29" x14ac:dyDescent="0.2">
      <c r="A85" s="2" t="s">
        <v>86</v>
      </c>
      <c r="B85" s="2">
        <v>4</v>
      </c>
      <c r="C85" s="2" t="s">
        <v>87</v>
      </c>
      <c r="D85" s="2" t="s">
        <v>17</v>
      </c>
      <c r="E85" s="2" t="s">
        <v>47</v>
      </c>
      <c r="F85" s="2" t="s">
        <v>48</v>
      </c>
      <c r="G85" s="2" t="s">
        <v>49</v>
      </c>
      <c r="H85" s="2">
        <v>83</v>
      </c>
      <c r="I85" s="2" t="b">
        <v>1</v>
      </c>
      <c r="J85" s="2">
        <v>30</v>
      </c>
      <c r="K85" t="s">
        <v>47</v>
      </c>
      <c r="L85">
        <v>17</v>
      </c>
    </row>
    <row r="86" spans="1:12" ht="43" x14ac:dyDescent="0.2">
      <c r="A86" s="2" t="s">
        <v>86</v>
      </c>
      <c r="B86" s="2">
        <v>4</v>
      </c>
      <c r="C86" s="2" t="s">
        <v>102</v>
      </c>
      <c r="D86" s="2" t="s">
        <v>17</v>
      </c>
      <c r="E86" s="2" t="s">
        <v>47</v>
      </c>
      <c r="F86" s="2" t="s">
        <v>48</v>
      </c>
      <c r="G86" s="2" t="s">
        <v>49</v>
      </c>
      <c r="H86" s="2">
        <v>12</v>
      </c>
      <c r="I86" s="2" t="b">
        <v>1</v>
      </c>
      <c r="J86" s="2">
        <v>0</v>
      </c>
      <c r="K86" t="s">
        <v>47</v>
      </c>
      <c r="L86">
        <v>17</v>
      </c>
    </row>
    <row r="87" spans="1:12" x14ac:dyDescent="0.2">
      <c r="A87" s="2" t="s">
        <v>86</v>
      </c>
      <c r="B87" s="2">
        <v>4</v>
      </c>
      <c r="C87" s="2" t="s">
        <v>92</v>
      </c>
      <c r="D87" s="2" t="s">
        <v>17</v>
      </c>
      <c r="E87" s="2" t="s">
        <v>40</v>
      </c>
      <c r="F87" s="2" t="s">
        <v>76</v>
      </c>
      <c r="G87" s="2" t="s">
        <v>77</v>
      </c>
      <c r="H87" s="2">
        <v>60</v>
      </c>
      <c r="I87" s="2" t="b">
        <v>1</v>
      </c>
      <c r="J87" s="2">
        <v>60</v>
      </c>
      <c r="K87" t="s">
        <v>40</v>
      </c>
      <c r="L87">
        <v>16</v>
      </c>
    </row>
    <row r="88" spans="1:12" ht="29" x14ac:dyDescent="0.2">
      <c r="A88" s="2" t="s">
        <v>86</v>
      </c>
      <c r="B88" s="2">
        <v>4</v>
      </c>
      <c r="C88" s="2" t="s">
        <v>90</v>
      </c>
      <c r="D88" s="2" t="s">
        <v>17</v>
      </c>
      <c r="E88" s="2" t="s">
        <v>40</v>
      </c>
      <c r="F88" s="2" t="s">
        <v>76</v>
      </c>
      <c r="G88" s="2" t="s">
        <v>77</v>
      </c>
      <c r="H88" s="2">
        <v>60</v>
      </c>
      <c r="I88" s="2" t="b">
        <v>1</v>
      </c>
      <c r="J88" s="2">
        <v>30</v>
      </c>
      <c r="K88" t="s">
        <v>40</v>
      </c>
      <c r="L88">
        <v>16</v>
      </c>
    </row>
    <row r="89" spans="1:12" ht="43" x14ac:dyDescent="0.2">
      <c r="A89" s="2" t="s">
        <v>86</v>
      </c>
      <c r="B89" s="2">
        <v>4</v>
      </c>
      <c r="C89" s="2" t="s">
        <v>103</v>
      </c>
      <c r="D89" s="2" t="s">
        <v>17</v>
      </c>
      <c r="E89" s="2" t="s">
        <v>40</v>
      </c>
      <c r="F89" s="2" t="s">
        <v>76</v>
      </c>
      <c r="G89" s="2" t="s">
        <v>77</v>
      </c>
      <c r="H89" s="2"/>
      <c r="I89" s="2" t="b">
        <v>1</v>
      </c>
      <c r="J89" s="2">
        <v>120</v>
      </c>
      <c r="K89" t="s">
        <v>40</v>
      </c>
      <c r="L89">
        <v>16</v>
      </c>
    </row>
    <row r="90" spans="1:12" ht="43" x14ac:dyDescent="0.2">
      <c r="A90" s="2" t="s">
        <v>86</v>
      </c>
      <c r="B90" s="2">
        <v>4</v>
      </c>
      <c r="C90" s="2" t="s">
        <v>104</v>
      </c>
      <c r="D90" s="2" t="s">
        <v>17</v>
      </c>
      <c r="E90" s="2" t="s">
        <v>40</v>
      </c>
      <c r="F90" s="2" t="s">
        <v>76</v>
      </c>
      <c r="G90" s="2" t="s">
        <v>77</v>
      </c>
      <c r="H90" s="2"/>
      <c r="I90" s="2" t="b">
        <v>1</v>
      </c>
      <c r="J90" s="2">
        <v>120</v>
      </c>
      <c r="K90" t="s">
        <v>40</v>
      </c>
      <c r="L90">
        <v>16</v>
      </c>
    </row>
    <row r="91" spans="1:12" ht="29" x14ac:dyDescent="0.2">
      <c r="A91" s="2" t="s">
        <v>86</v>
      </c>
      <c r="B91" s="2">
        <v>4</v>
      </c>
      <c r="C91" s="2" t="s">
        <v>87</v>
      </c>
      <c r="D91" s="2" t="s">
        <v>17</v>
      </c>
      <c r="E91" s="2" t="s">
        <v>40</v>
      </c>
      <c r="F91" s="2" t="s">
        <v>76</v>
      </c>
      <c r="G91" s="2" t="s">
        <v>77</v>
      </c>
      <c r="H91" s="2">
        <v>30</v>
      </c>
      <c r="I91" s="2" t="b">
        <v>1</v>
      </c>
      <c r="J91" s="2">
        <v>30</v>
      </c>
      <c r="K91" t="s">
        <v>40</v>
      </c>
      <c r="L91">
        <v>16</v>
      </c>
    </row>
    <row r="92" spans="1:12" x14ac:dyDescent="0.2">
      <c r="A92" s="2" t="s">
        <v>86</v>
      </c>
      <c r="B92" s="2">
        <v>4</v>
      </c>
      <c r="C92" s="2" t="s">
        <v>92</v>
      </c>
      <c r="D92" s="2" t="s">
        <v>17</v>
      </c>
      <c r="E92" s="2" t="s">
        <v>50</v>
      </c>
      <c r="F92" s="2" t="s">
        <v>51</v>
      </c>
      <c r="G92" s="2" t="s">
        <v>52</v>
      </c>
      <c r="H92" s="2">
        <v>45</v>
      </c>
      <c r="I92" s="2" t="b">
        <v>1</v>
      </c>
      <c r="J92" s="2">
        <v>60</v>
      </c>
      <c r="K92" t="s">
        <v>50</v>
      </c>
      <c r="L92">
        <v>14</v>
      </c>
    </row>
    <row r="93" spans="1:12" ht="29" x14ac:dyDescent="0.2">
      <c r="A93" s="2" t="s">
        <v>86</v>
      </c>
      <c r="B93" s="2">
        <v>4</v>
      </c>
      <c r="C93" s="2" t="s">
        <v>90</v>
      </c>
      <c r="D93" s="2" t="s">
        <v>17</v>
      </c>
      <c r="E93" s="2" t="s">
        <v>50</v>
      </c>
      <c r="F93" s="2" t="s">
        <v>51</v>
      </c>
      <c r="G93" s="2" t="s">
        <v>52</v>
      </c>
      <c r="H93" s="2">
        <v>4585</v>
      </c>
      <c r="I93" s="2" t="b">
        <v>0</v>
      </c>
      <c r="J93" s="2">
        <v>30</v>
      </c>
      <c r="K93" t="s">
        <v>50</v>
      </c>
      <c r="L93">
        <v>14</v>
      </c>
    </row>
    <row r="94" spans="1:12" x14ac:dyDescent="0.2">
      <c r="A94" s="2" t="s">
        <v>86</v>
      </c>
      <c r="B94" s="2">
        <v>4</v>
      </c>
      <c r="C94" s="2" t="s">
        <v>92</v>
      </c>
      <c r="D94" s="2" t="s">
        <v>17</v>
      </c>
      <c r="E94" s="2" t="s">
        <v>53</v>
      </c>
      <c r="F94" s="2" t="s">
        <v>54</v>
      </c>
      <c r="G94" s="2" t="s">
        <v>55</v>
      </c>
      <c r="H94" s="2">
        <v>193</v>
      </c>
      <c r="I94" s="2" t="b">
        <v>1</v>
      </c>
      <c r="J94" s="2">
        <v>60</v>
      </c>
      <c r="K94" t="s">
        <v>53</v>
      </c>
      <c r="L94">
        <v>19</v>
      </c>
    </row>
    <row r="95" spans="1:12" ht="43" x14ac:dyDescent="0.2">
      <c r="A95" s="2" t="s">
        <v>86</v>
      </c>
      <c r="B95" s="2">
        <v>4</v>
      </c>
      <c r="C95" s="2" t="s">
        <v>105</v>
      </c>
      <c r="D95" s="2" t="s">
        <v>17</v>
      </c>
      <c r="E95" s="2" t="s">
        <v>53</v>
      </c>
      <c r="F95" s="2" t="s">
        <v>54</v>
      </c>
      <c r="G95" s="2" t="s">
        <v>55</v>
      </c>
      <c r="H95" s="2">
        <v>613</v>
      </c>
      <c r="I95" s="2" t="b">
        <v>1</v>
      </c>
      <c r="J95" s="2">
        <v>120</v>
      </c>
      <c r="K95" t="s">
        <v>53</v>
      </c>
      <c r="L95">
        <v>19</v>
      </c>
    </row>
    <row r="96" spans="1:12" ht="43" x14ac:dyDescent="0.2">
      <c r="A96" s="2" t="s">
        <v>86</v>
      </c>
      <c r="B96" s="2">
        <v>4</v>
      </c>
      <c r="C96" s="2" t="s">
        <v>106</v>
      </c>
      <c r="D96" s="2" t="s">
        <v>17</v>
      </c>
      <c r="E96" s="2" t="s">
        <v>53</v>
      </c>
      <c r="F96" s="2" t="s">
        <v>54</v>
      </c>
      <c r="G96" s="2" t="s">
        <v>55</v>
      </c>
      <c r="H96" s="2">
        <v>253</v>
      </c>
      <c r="I96" s="2" t="b">
        <v>1</v>
      </c>
      <c r="J96" s="2">
        <v>120</v>
      </c>
      <c r="K96" t="s">
        <v>53</v>
      </c>
      <c r="L96">
        <v>19</v>
      </c>
    </row>
    <row r="97" spans="1:12" ht="29" x14ac:dyDescent="0.2">
      <c r="A97" s="2" t="s">
        <v>86</v>
      </c>
      <c r="B97" s="2">
        <v>4</v>
      </c>
      <c r="C97" s="2" t="s">
        <v>87</v>
      </c>
      <c r="D97" s="2" t="s">
        <v>17</v>
      </c>
      <c r="E97" s="2" t="s">
        <v>53</v>
      </c>
      <c r="F97" s="2" t="s">
        <v>54</v>
      </c>
      <c r="G97" s="2" t="s">
        <v>55</v>
      </c>
      <c r="H97" s="2">
        <v>253</v>
      </c>
      <c r="I97" s="2" t="b">
        <v>1</v>
      </c>
      <c r="J97" s="2">
        <v>30</v>
      </c>
      <c r="K97" t="s">
        <v>53</v>
      </c>
      <c r="L97">
        <v>19</v>
      </c>
    </row>
    <row r="98" spans="1:12" ht="43" x14ac:dyDescent="0.2">
      <c r="A98" s="2" t="s">
        <v>107</v>
      </c>
      <c r="B98" s="2">
        <v>5</v>
      </c>
      <c r="C98" s="2" t="s">
        <v>108</v>
      </c>
      <c r="D98" s="2" t="s">
        <v>14</v>
      </c>
      <c r="E98" s="2" t="s">
        <v>44</v>
      </c>
      <c r="F98" s="2"/>
      <c r="G98" s="2"/>
      <c r="H98" s="2"/>
      <c r="I98" s="2" t="b">
        <v>0</v>
      </c>
      <c r="J98" s="2">
        <v>120</v>
      </c>
      <c r="K98" t="s">
        <v>83</v>
      </c>
      <c r="L98">
        <v>20</v>
      </c>
    </row>
    <row r="99" spans="1:12" ht="29" x14ac:dyDescent="0.2">
      <c r="A99" s="2" t="s">
        <v>107</v>
      </c>
      <c r="B99" s="2">
        <v>5</v>
      </c>
      <c r="C99" s="2" t="s">
        <v>87</v>
      </c>
      <c r="D99" s="2" t="s">
        <v>14</v>
      </c>
      <c r="E99" s="2" t="s">
        <v>44</v>
      </c>
      <c r="F99" s="2"/>
      <c r="G99" s="2"/>
      <c r="H99" s="2"/>
      <c r="I99" s="2" t="b">
        <v>0</v>
      </c>
      <c r="J99" s="2">
        <v>30</v>
      </c>
      <c r="K99" t="s">
        <v>83</v>
      </c>
      <c r="L99">
        <v>20</v>
      </c>
    </row>
    <row r="100" spans="1:12" ht="29" x14ac:dyDescent="0.2">
      <c r="A100" s="2" t="s">
        <v>107</v>
      </c>
      <c r="B100" s="2">
        <v>5</v>
      </c>
      <c r="C100" s="2" t="s">
        <v>109</v>
      </c>
      <c r="D100" s="2" t="s">
        <v>14</v>
      </c>
      <c r="E100" s="2" t="s">
        <v>50</v>
      </c>
      <c r="F100" s="2"/>
      <c r="G100" s="2"/>
      <c r="H100" s="2"/>
      <c r="I100" s="2" t="b">
        <v>0</v>
      </c>
      <c r="J100" s="2">
        <v>60</v>
      </c>
      <c r="K100" t="s">
        <v>83</v>
      </c>
      <c r="L100">
        <v>14</v>
      </c>
    </row>
    <row r="101" spans="1:12" ht="29" x14ac:dyDescent="0.2">
      <c r="A101" s="2" t="s">
        <v>107</v>
      </c>
      <c r="B101" s="2">
        <v>5</v>
      </c>
      <c r="C101" s="2" t="s">
        <v>110</v>
      </c>
      <c r="D101" s="2" t="s">
        <v>14</v>
      </c>
      <c r="E101" s="2" t="s">
        <v>50</v>
      </c>
      <c r="F101" s="2"/>
      <c r="G101" s="2"/>
      <c r="H101" s="2"/>
      <c r="I101" s="2" t="b">
        <v>0</v>
      </c>
      <c r="J101" s="2">
        <v>30</v>
      </c>
      <c r="K101" t="s">
        <v>83</v>
      </c>
      <c r="L101">
        <v>14</v>
      </c>
    </row>
    <row r="102" spans="1:12" ht="43" x14ac:dyDescent="0.2">
      <c r="A102" s="2" t="s">
        <v>107</v>
      </c>
      <c r="B102" s="2">
        <v>5</v>
      </c>
      <c r="C102" s="2" t="s">
        <v>111</v>
      </c>
      <c r="D102" s="2" t="s">
        <v>14</v>
      </c>
      <c r="E102" s="2" t="s">
        <v>50</v>
      </c>
      <c r="F102" s="2"/>
      <c r="G102" s="2"/>
      <c r="H102" s="2"/>
      <c r="I102" s="2" t="b">
        <v>0</v>
      </c>
      <c r="J102" s="2">
        <v>120</v>
      </c>
      <c r="K102" t="s">
        <v>83</v>
      </c>
      <c r="L102">
        <v>14</v>
      </c>
    </row>
    <row r="103" spans="1:12" ht="29" x14ac:dyDescent="0.2">
      <c r="A103" s="2" t="s">
        <v>107</v>
      </c>
      <c r="B103" s="2">
        <v>5</v>
      </c>
      <c r="C103" s="2" t="s">
        <v>87</v>
      </c>
      <c r="D103" s="2" t="s">
        <v>14</v>
      </c>
      <c r="E103" s="2" t="s">
        <v>50</v>
      </c>
      <c r="F103" s="2"/>
      <c r="G103" s="2"/>
      <c r="H103" s="2"/>
      <c r="I103" s="2" t="b">
        <v>0</v>
      </c>
      <c r="J103" s="2">
        <v>30</v>
      </c>
      <c r="K103" t="s">
        <v>83</v>
      </c>
      <c r="L103">
        <v>14</v>
      </c>
    </row>
    <row r="104" spans="1:12" ht="71" x14ac:dyDescent="0.2">
      <c r="A104" s="2" t="s">
        <v>107</v>
      </c>
      <c r="B104" s="2">
        <v>5</v>
      </c>
      <c r="C104" s="2" t="s">
        <v>112</v>
      </c>
      <c r="D104" s="2" t="s">
        <v>17</v>
      </c>
      <c r="E104" s="2" t="s">
        <v>56</v>
      </c>
      <c r="F104" s="2" t="s">
        <v>48</v>
      </c>
      <c r="G104" s="2" t="s">
        <v>49</v>
      </c>
      <c r="H104" s="2">
        <v>42</v>
      </c>
      <c r="I104" s="2" t="b">
        <v>0</v>
      </c>
      <c r="J104" s="2">
        <v>20</v>
      </c>
      <c r="K104" t="s">
        <v>47</v>
      </c>
      <c r="L104">
        <v>109</v>
      </c>
    </row>
    <row r="105" spans="1:12" ht="71" x14ac:dyDescent="0.2">
      <c r="A105" s="2" t="s">
        <v>107</v>
      </c>
      <c r="B105" s="2">
        <v>5</v>
      </c>
      <c r="C105" s="2" t="s">
        <v>93</v>
      </c>
      <c r="D105" s="2" t="s">
        <v>17</v>
      </c>
      <c r="E105" s="2" t="s">
        <v>56</v>
      </c>
      <c r="F105" s="2" t="s">
        <v>54</v>
      </c>
      <c r="G105" s="2" t="s">
        <v>55</v>
      </c>
      <c r="H105" s="2"/>
      <c r="I105" s="2" t="b">
        <v>1</v>
      </c>
      <c r="J105" s="2">
        <v>45</v>
      </c>
      <c r="K105" t="s">
        <v>53</v>
      </c>
      <c r="L105">
        <v>109</v>
      </c>
    </row>
    <row r="106" spans="1:12" ht="29" x14ac:dyDescent="0.2">
      <c r="A106" s="2" t="s">
        <v>107</v>
      </c>
      <c r="B106" s="2">
        <v>5</v>
      </c>
      <c r="C106" s="2" t="s">
        <v>109</v>
      </c>
      <c r="D106" s="2" t="s">
        <v>17</v>
      </c>
      <c r="E106" s="2" t="s">
        <v>41</v>
      </c>
      <c r="F106" s="2" t="s">
        <v>42</v>
      </c>
      <c r="G106" s="2" t="s">
        <v>43</v>
      </c>
      <c r="H106" s="2">
        <v>298</v>
      </c>
      <c r="I106" s="2" t="b">
        <v>1</v>
      </c>
      <c r="J106" s="2">
        <v>60</v>
      </c>
      <c r="K106" t="s">
        <v>41</v>
      </c>
      <c r="L106">
        <v>18</v>
      </c>
    </row>
    <row r="107" spans="1:12" ht="71" x14ac:dyDescent="0.2">
      <c r="A107" s="2" t="s">
        <v>107</v>
      </c>
      <c r="B107" s="2">
        <v>5</v>
      </c>
      <c r="C107" s="2" t="s">
        <v>113</v>
      </c>
      <c r="D107" s="2" t="s">
        <v>17</v>
      </c>
      <c r="E107" s="2" t="s">
        <v>56</v>
      </c>
      <c r="F107" s="2" t="s">
        <v>54</v>
      </c>
      <c r="G107" s="2" t="s">
        <v>55</v>
      </c>
      <c r="H107" s="2">
        <v>60</v>
      </c>
      <c r="I107" s="2" t="b">
        <v>1</v>
      </c>
      <c r="J107" s="2">
        <v>30</v>
      </c>
      <c r="K107" t="s">
        <v>53</v>
      </c>
      <c r="L107">
        <v>109</v>
      </c>
    </row>
    <row r="108" spans="1:12" ht="29" x14ac:dyDescent="0.2">
      <c r="A108" s="2" t="s">
        <v>107</v>
      </c>
      <c r="B108" s="2">
        <v>5</v>
      </c>
      <c r="C108" s="2" t="s">
        <v>110</v>
      </c>
      <c r="D108" s="2" t="s">
        <v>17</v>
      </c>
      <c r="E108" s="2" t="s">
        <v>41</v>
      </c>
      <c r="F108" s="2" t="s">
        <v>42</v>
      </c>
      <c r="G108" s="2" t="s">
        <v>43</v>
      </c>
      <c r="H108" s="2">
        <v>30</v>
      </c>
      <c r="I108" s="2" t="b">
        <v>1</v>
      </c>
      <c r="J108" s="2">
        <v>30</v>
      </c>
      <c r="K108" t="s">
        <v>41</v>
      </c>
      <c r="L108">
        <v>18</v>
      </c>
    </row>
    <row r="109" spans="1:12" ht="57" x14ac:dyDescent="0.2">
      <c r="A109" s="2" t="s">
        <v>107</v>
      </c>
      <c r="B109" s="2">
        <v>5</v>
      </c>
      <c r="C109" s="2" t="s">
        <v>114</v>
      </c>
      <c r="D109" s="2" t="s">
        <v>17</v>
      </c>
      <c r="E109" s="2" t="s">
        <v>41</v>
      </c>
      <c r="F109" s="2" t="s">
        <v>42</v>
      </c>
      <c r="G109" s="2" t="s">
        <v>43</v>
      </c>
      <c r="H109" s="2">
        <v>143</v>
      </c>
      <c r="I109" s="2" t="b">
        <v>1</v>
      </c>
      <c r="J109" s="2">
        <v>120</v>
      </c>
      <c r="K109" t="s">
        <v>41</v>
      </c>
      <c r="L109">
        <v>18</v>
      </c>
    </row>
    <row r="110" spans="1:12" ht="29" x14ac:dyDescent="0.2">
      <c r="A110" s="2" t="s">
        <v>107</v>
      </c>
      <c r="B110" s="2">
        <v>5</v>
      </c>
      <c r="C110" s="2" t="s">
        <v>87</v>
      </c>
      <c r="D110" s="2" t="s">
        <v>17</v>
      </c>
      <c r="E110" s="2" t="s">
        <v>41</v>
      </c>
      <c r="F110" s="2" t="s">
        <v>42</v>
      </c>
      <c r="G110" s="2" t="s">
        <v>43</v>
      </c>
      <c r="H110" s="2">
        <v>60</v>
      </c>
      <c r="I110" s="2" t="b">
        <v>1</v>
      </c>
      <c r="J110" s="2">
        <v>30</v>
      </c>
      <c r="K110" t="s">
        <v>41</v>
      </c>
      <c r="L110">
        <v>18</v>
      </c>
    </row>
    <row r="111" spans="1:12" ht="29" x14ac:dyDescent="0.2">
      <c r="A111" s="2" t="s">
        <v>107</v>
      </c>
      <c r="B111" s="2">
        <v>5</v>
      </c>
      <c r="C111" s="2" t="s">
        <v>109</v>
      </c>
      <c r="D111" s="2" t="s">
        <v>17</v>
      </c>
      <c r="E111" s="2" t="s">
        <v>44</v>
      </c>
      <c r="F111" s="2" t="s">
        <v>45</v>
      </c>
      <c r="G111" s="2" t="s">
        <v>46</v>
      </c>
      <c r="H111" s="2">
        <v>56</v>
      </c>
      <c r="I111" s="2" t="b">
        <v>1</v>
      </c>
      <c r="J111" s="2">
        <v>60</v>
      </c>
      <c r="K111" t="s">
        <v>44</v>
      </c>
      <c r="L111">
        <v>20</v>
      </c>
    </row>
    <row r="112" spans="1:12" ht="29" x14ac:dyDescent="0.2">
      <c r="A112" s="2" t="s">
        <v>107</v>
      </c>
      <c r="B112" s="2">
        <v>5</v>
      </c>
      <c r="C112" s="2" t="s">
        <v>110</v>
      </c>
      <c r="D112" s="2" t="s">
        <v>17</v>
      </c>
      <c r="E112" s="2" t="s">
        <v>44</v>
      </c>
      <c r="F112" s="2" t="s">
        <v>45</v>
      </c>
      <c r="G112" s="2" t="s">
        <v>46</v>
      </c>
      <c r="H112" s="2">
        <v>80</v>
      </c>
      <c r="I112" s="2" t="b">
        <v>1</v>
      </c>
      <c r="J112" s="2">
        <v>30</v>
      </c>
      <c r="K112" t="s">
        <v>44</v>
      </c>
      <c r="L112">
        <v>20</v>
      </c>
    </row>
    <row r="113" spans="1:12" ht="29" x14ac:dyDescent="0.2">
      <c r="A113" s="2" t="s">
        <v>107</v>
      </c>
      <c r="B113" s="2">
        <v>5</v>
      </c>
      <c r="C113" s="2" t="s">
        <v>109</v>
      </c>
      <c r="D113" s="2" t="s">
        <v>17</v>
      </c>
      <c r="E113" s="2" t="s">
        <v>47</v>
      </c>
      <c r="F113" s="2" t="s">
        <v>48</v>
      </c>
      <c r="G113" s="2" t="s">
        <v>49</v>
      </c>
      <c r="H113" s="2">
        <v>42</v>
      </c>
      <c r="I113" s="2" t="b">
        <v>1</v>
      </c>
      <c r="J113" s="2">
        <v>60</v>
      </c>
      <c r="K113" t="s">
        <v>47</v>
      </c>
      <c r="L113">
        <v>17</v>
      </c>
    </row>
    <row r="114" spans="1:12" ht="43" x14ac:dyDescent="0.2">
      <c r="A114" s="2" t="s">
        <v>107</v>
      </c>
      <c r="B114" s="2">
        <v>5</v>
      </c>
      <c r="C114" s="2" t="s">
        <v>115</v>
      </c>
      <c r="D114" s="2" t="s">
        <v>17</v>
      </c>
      <c r="E114" s="2" t="s">
        <v>47</v>
      </c>
      <c r="F114" s="2" t="s">
        <v>48</v>
      </c>
      <c r="G114" s="2" t="s">
        <v>49</v>
      </c>
      <c r="H114" s="2">
        <v>7</v>
      </c>
      <c r="I114" s="2" t="b">
        <v>1</v>
      </c>
      <c r="J114" s="2">
        <v>30</v>
      </c>
      <c r="K114" t="s">
        <v>47</v>
      </c>
      <c r="L114">
        <v>17</v>
      </c>
    </row>
    <row r="115" spans="1:12" ht="29" x14ac:dyDescent="0.2">
      <c r="A115" s="2" t="s">
        <v>107</v>
      </c>
      <c r="B115" s="2">
        <v>5</v>
      </c>
      <c r="C115" s="2" t="s">
        <v>110</v>
      </c>
      <c r="D115" s="2" t="s">
        <v>17</v>
      </c>
      <c r="E115" s="2" t="s">
        <v>47</v>
      </c>
      <c r="F115" s="2" t="s">
        <v>48</v>
      </c>
      <c r="G115" s="2" t="s">
        <v>49</v>
      </c>
      <c r="H115" s="2">
        <v>18</v>
      </c>
      <c r="I115" s="2" t="b">
        <v>1</v>
      </c>
      <c r="J115" s="2">
        <v>30</v>
      </c>
      <c r="K115" t="s">
        <v>47</v>
      </c>
      <c r="L115">
        <v>17</v>
      </c>
    </row>
    <row r="116" spans="1:12" ht="57" x14ac:dyDescent="0.2">
      <c r="A116" s="2" t="s">
        <v>107</v>
      </c>
      <c r="B116" s="2">
        <v>5</v>
      </c>
      <c r="C116" s="2" t="s">
        <v>116</v>
      </c>
      <c r="D116" s="2" t="s">
        <v>17</v>
      </c>
      <c r="E116" s="2" t="s">
        <v>47</v>
      </c>
      <c r="F116" s="2" t="s">
        <v>48</v>
      </c>
      <c r="G116" s="2" t="s">
        <v>49</v>
      </c>
      <c r="H116" s="2">
        <v>97</v>
      </c>
      <c r="I116" s="2" t="b">
        <v>1</v>
      </c>
      <c r="J116" s="2">
        <v>120</v>
      </c>
      <c r="K116" t="s">
        <v>47</v>
      </c>
      <c r="L116">
        <v>17</v>
      </c>
    </row>
    <row r="117" spans="1:12" ht="29" x14ac:dyDescent="0.2">
      <c r="A117" s="2" t="s">
        <v>107</v>
      </c>
      <c r="B117" s="2">
        <v>5</v>
      </c>
      <c r="C117" s="2" t="s">
        <v>87</v>
      </c>
      <c r="D117" s="2" t="s">
        <v>17</v>
      </c>
      <c r="E117" s="2" t="s">
        <v>47</v>
      </c>
      <c r="F117" s="2" t="s">
        <v>48</v>
      </c>
      <c r="G117" s="2" t="s">
        <v>49</v>
      </c>
      <c r="H117" s="2">
        <v>18</v>
      </c>
      <c r="I117" s="2" t="b">
        <v>1</v>
      </c>
      <c r="J117" s="2">
        <v>30</v>
      </c>
      <c r="K117" t="s">
        <v>47</v>
      </c>
      <c r="L117">
        <v>17</v>
      </c>
    </row>
    <row r="118" spans="1:12" ht="29" x14ac:dyDescent="0.2">
      <c r="A118" s="2" t="s">
        <v>107</v>
      </c>
      <c r="B118" s="2">
        <v>5</v>
      </c>
      <c r="C118" s="2" t="s">
        <v>109</v>
      </c>
      <c r="D118" s="2" t="s">
        <v>17</v>
      </c>
      <c r="E118" s="2" t="s">
        <v>40</v>
      </c>
      <c r="F118" s="2" t="s">
        <v>76</v>
      </c>
      <c r="G118" s="2" t="s">
        <v>77</v>
      </c>
      <c r="H118" s="2">
        <v>60</v>
      </c>
      <c r="I118" s="2" t="b">
        <v>1</v>
      </c>
      <c r="J118" s="2">
        <v>60</v>
      </c>
      <c r="K118" t="s">
        <v>40</v>
      </c>
      <c r="L118">
        <v>16</v>
      </c>
    </row>
    <row r="119" spans="1:12" ht="29" x14ac:dyDescent="0.2">
      <c r="A119" s="2" t="s">
        <v>107</v>
      </c>
      <c r="B119" s="2">
        <v>5</v>
      </c>
      <c r="C119" s="2" t="s">
        <v>110</v>
      </c>
      <c r="D119" s="2" t="s">
        <v>17</v>
      </c>
      <c r="E119" s="2" t="s">
        <v>40</v>
      </c>
      <c r="F119" s="2" t="s">
        <v>76</v>
      </c>
      <c r="G119" s="2" t="s">
        <v>77</v>
      </c>
      <c r="H119" s="2">
        <v>60</v>
      </c>
      <c r="I119" s="2" t="b">
        <v>1</v>
      </c>
      <c r="J119" s="2">
        <v>30</v>
      </c>
      <c r="K119" t="s">
        <v>40</v>
      </c>
      <c r="L119">
        <v>16</v>
      </c>
    </row>
    <row r="120" spans="1:12" ht="43" x14ac:dyDescent="0.2">
      <c r="A120" s="2" t="s">
        <v>107</v>
      </c>
      <c r="B120" s="2">
        <v>5</v>
      </c>
      <c r="C120" s="2" t="s">
        <v>117</v>
      </c>
      <c r="D120" s="2" t="s">
        <v>17</v>
      </c>
      <c r="E120" s="2" t="s">
        <v>40</v>
      </c>
      <c r="F120" s="2" t="s">
        <v>76</v>
      </c>
      <c r="G120" s="2" t="s">
        <v>77</v>
      </c>
      <c r="H120" s="2">
        <v>60</v>
      </c>
      <c r="I120" s="2" t="b">
        <v>1</v>
      </c>
      <c r="J120" s="2">
        <v>120</v>
      </c>
      <c r="K120" t="s">
        <v>40</v>
      </c>
      <c r="L120">
        <v>16</v>
      </c>
    </row>
    <row r="121" spans="1:12" ht="29" x14ac:dyDescent="0.2">
      <c r="A121" s="2" t="s">
        <v>107</v>
      </c>
      <c r="B121" s="2">
        <v>5</v>
      </c>
      <c r="C121" s="2" t="s">
        <v>87</v>
      </c>
      <c r="D121" s="2" t="s">
        <v>17</v>
      </c>
      <c r="E121" s="2" t="s">
        <v>40</v>
      </c>
      <c r="F121" s="2" t="s">
        <v>76</v>
      </c>
      <c r="G121" s="2" t="s">
        <v>77</v>
      </c>
      <c r="H121" s="2">
        <v>120</v>
      </c>
      <c r="I121" s="2" t="b">
        <v>1</v>
      </c>
      <c r="J121" s="2">
        <v>30</v>
      </c>
      <c r="K121" t="s">
        <v>40</v>
      </c>
      <c r="L121">
        <v>16</v>
      </c>
    </row>
    <row r="122" spans="1:12" ht="29" x14ac:dyDescent="0.2">
      <c r="A122" s="2" t="s">
        <v>107</v>
      </c>
      <c r="B122" s="2">
        <v>5</v>
      </c>
      <c r="C122" s="2" t="s">
        <v>109</v>
      </c>
      <c r="D122" s="2" t="s">
        <v>17</v>
      </c>
      <c r="E122" s="2" t="s">
        <v>53</v>
      </c>
      <c r="F122" s="2" t="s">
        <v>54</v>
      </c>
      <c r="G122" s="2" t="s">
        <v>55</v>
      </c>
      <c r="H122" s="2">
        <v>190</v>
      </c>
      <c r="I122" s="2" t="b">
        <v>1</v>
      </c>
      <c r="J122" s="2">
        <v>60</v>
      </c>
      <c r="K122" t="s">
        <v>53</v>
      </c>
      <c r="L122">
        <v>19</v>
      </c>
    </row>
    <row r="123" spans="1:12" ht="29" x14ac:dyDescent="0.2">
      <c r="A123" s="2" t="s">
        <v>107</v>
      </c>
      <c r="B123" s="2">
        <v>5</v>
      </c>
      <c r="C123" s="2" t="s">
        <v>110</v>
      </c>
      <c r="D123" s="2" t="s">
        <v>17</v>
      </c>
      <c r="E123" s="2" t="s">
        <v>53</v>
      </c>
      <c r="F123" s="2" t="s">
        <v>54</v>
      </c>
      <c r="G123" s="2" t="s">
        <v>55</v>
      </c>
      <c r="H123" s="2">
        <v>20</v>
      </c>
      <c r="I123" s="2" t="b">
        <v>1</v>
      </c>
      <c r="J123" s="2">
        <v>30</v>
      </c>
      <c r="K123" t="s">
        <v>53</v>
      </c>
      <c r="L123">
        <v>19</v>
      </c>
    </row>
    <row r="124" spans="1:12" ht="43" x14ac:dyDescent="0.2">
      <c r="A124" s="2" t="s">
        <v>107</v>
      </c>
      <c r="B124" s="2">
        <v>5</v>
      </c>
      <c r="C124" s="2" t="s">
        <v>118</v>
      </c>
      <c r="D124" s="2" t="s">
        <v>17</v>
      </c>
      <c r="E124" s="2" t="s">
        <v>53</v>
      </c>
      <c r="F124" s="2" t="s">
        <v>54</v>
      </c>
      <c r="G124" s="2" t="s">
        <v>55</v>
      </c>
      <c r="H124" s="2">
        <v>108</v>
      </c>
      <c r="I124" s="2" t="b">
        <v>1</v>
      </c>
      <c r="J124" s="2">
        <v>120</v>
      </c>
      <c r="K124" t="s">
        <v>53</v>
      </c>
      <c r="L124">
        <v>19</v>
      </c>
    </row>
    <row r="125" spans="1:12" ht="29" x14ac:dyDescent="0.2">
      <c r="A125" s="2" t="s">
        <v>107</v>
      </c>
      <c r="B125" s="2">
        <v>5</v>
      </c>
      <c r="C125" s="2" t="s">
        <v>87</v>
      </c>
      <c r="D125" s="2" t="s">
        <v>17</v>
      </c>
      <c r="E125" s="2" t="s">
        <v>53</v>
      </c>
      <c r="F125" s="2" t="s">
        <v>54</v>
      </c>
      <c r="G125" s="2" t="s">
        <v>55</v>
      </c>
      <c r="H125" s="2">
        <v>90</v>
      </c>
      <c r="I125" s="2" t="b">
        <v>1</v>
      </c>
      <c r="J125" s="2">
        <v>30</v>
      </c>
      <c r="K125" t="s">
        <v>53</v>
      </c>
      <c r="L125">
        <v>19</v>
      </c>
    </row>
    <row r="126" spans="1:12" ht="29" x14ac:dyDescent="0.2">
      <c r="A126" s="2" t="s">
        <v>119</v>
      </c>
      <c r="B126" s="2">
        <v>6</v>
      </c>
      <c r="C126" s="2" t="s">
        <v>120</v>
      </c>
      <c r="D126" s="2" t="s">
        <v>14</v>
      </c>
      <c r="E126" s="2" t="s">
        <v>41</v>
      </c>
      <c r="F126" s="2"/>
      <c r="G126" s="2"/>
      <c r="H126" s="2"/>
      <c r="I126" s="2" t="b">
        <v>0</v>
      </c>
      <c r="J126" s="2">
        <v>60</v>
      </c>
      <c r="K126" t="s">
        <v>83</v>
      </c>
      <c r="L126">
        <v>18</v>
      </c>
    </row>
    <row r="127" spans="1:12" ht="57" x14ac:dyDescent="0.2">
      <c r="A127" s="2" t="s">
        <v>119</v>
      </c>
      <c r="B127" s="2">
        <v>6</v>
      </c>
      <c r="C127" s="2" t="s">
        <v>121</v>
      </c>
      <c r="D127" s="2" t="s">
        <v>14</v>
      </c>
      <c r="E127" s="2" t="s">
        <v>41</v>
      </c>
      <c r="F127" s="2"/>
      <c r="G127" s="2"/>
      <c r="H127" s="2"/>
      <c r="I127" s="2" t="b">
        <v>0</v>
      </c>
      <c r="J127" s="2">
        <v>120</v>
      </c>
      <c r="K127" t="s">
        <v>83</v>
      </c>
      <c r="L127">
        <v>18</v>
      </c>
    </row>
    <row r="128" spans="1:12" ht="43" x14ac:dyDescent="0.2">
      <c r="A128" s="2" t="s">
        <v>119</v>
      </c>
      <c r="B128" s="2">
        <v>6</v>
      </c>
      <c r="C128" s="2" t="s">
        <v>122</v>
      </c>
      <c r="D128" s="2" t="s">
        <v>14</v>
      </c>
      <c r="E128" s="2" t="s">
        <v>44</v>
      </c>
      <c r="F128" s="2"/>
      <c r="G128" s="2"/>
      <c r="H128" s="2"/>
      <c r="I128" s="2" t="b">
        <v>0</v>
      </c>
      <c r="J128" s="2">
        <v>60</v>
      </c>
      <c r="K128" t="s">
        <v>83</v>
      </c>
      <c r="L128">
        <v>20</v>
      </c>
    </row>
    <row r="129" spans="1:12" ht="43" x14ac:dyDescent="0.2">
      <c r="A129" s="2" t="s">
        <v>119</v>
      </c>
      <c r="B129" s="2">
        <v>6</v>
      </c>
      <c r="C129" s="2" t="s">
        <v>123</v>
      </c>
      <c r="D129" s="2" t="s">
        <v>14</v>
      </c>
      <c r="E129" s="2" t="s">
        <v>44</v>
      </c>
      <c r="F129" s="2"/>
      <c r="G129" s="2"/>
      <c r="H129" s="2"/>
      <c r="I129" s="2" t="b">
        <v>0</v>
      </c>
      <c r="J129" s="2">
        <v>120</v>
      </c>
      <c r="K129" t="s">
        <v>83</v>
      </c>
      <c r="L129">
        <v>20</v>
      </c>
    </row>
    <row r="130" spans="1:12" ht="29" x14ac:dyDescent="0.2">
      <c r="A130" s="2" t="s">
        <v>119</v>
      </c>
      <c r="B130" s="2">
        <v>6</v>
      </c>
      <c r="C130" s="2" t="s">
        <v>87</v>
      </c>
      <c r="D130" s="2" t="s">
        <v>14</v>
      </c>
      <c r="E130" s="2" t="s">
        <v>44</v>
      </c>
      <c r="F130" s="2"/>
      <c r="G130" s="2"/>
      <c r="H130" s="2"/>
      <c r="I130" s="2" t="b">
        <v>0</v>
      </c>
      <c r="J130" s="2">
        <v>30</v>
      </c>
      <c r="K130" t="s">
        <v>83</v>
      </c>
      <c r="L130">
        <v>20</v>
      </c>
    </row>
    <row r="131" spans="1:12" ht="43" x14ac:dyDescent="0.2">
      <c r="A131" s="2" t="s">
        <v>119</v>
      </c>
      <c r="B131" s="2">
        <v>6</v>
      </c>
      <c r="C131" s="2" t="s">
        <v>124</v>
      </c>
      <c r="D131" s="2" t="s">
        <v>14</v>
      </c>
      <c r="E131" s="2" t="s">
        <v>47</v>
      </c>
      <c r="F131" s="2"/>
      <c r="G131" s="2"/>
      <c r="H131" s="2"/>
      <c r="I131" s="2" t="b">
        <v>0</v>
      </c>
      <c r="J131" s="2">
        <v>60</v>
      </c>
      <c r="K131" t="s">
        <v>83</v>
      </c>
      <c r="L131">
        <v>17</v>
      </c>
    </row>
    <row r="132" spans="1:12" ht="57" x14ac:dyDescent="0.2">
      <c r="A132" s="2" t="s">
        <v>119</v>
      </c>
      <c r="B132" s="2">
        <v>6</v>
      </c>
      <c r="C132" s="2" t="s">
        <v>125</v>
      </c>
      <c r="D132" s="2" t="s">
        <v>14</v>
      </c>
      <c r="E132" s="2" t="s">
        <v>47</v>
      </c>
      <c r="F132" s="2"/>
      <c r="G132" s="2"/>
      <c r="H132" s="2"/>
      <c r="I132" s="2" t="b">
        <v>0</v>
      </c>
      <c r="J132" s="2">
        <v>120</v>
      </c>
      <c r="K132" t="s">
        <v>83</v>
      </c>
      <c r="L132">
        <v>17</v>
      </c>
    </row>
    <row r="133" spans="1:12" ht="29" x14ac:dyDescent="0.2">
      <c r="A133" s="2" t="s">
        <v>119</v>
      </c>
      <c r="B133" s="2">
        <v>6</v>
      </c>
      <c r="C133" s="2" t="s">
        <v>87</v>
      </c>
      <c r="D133" s="2" t="s">
        <v>14</v>
      </c>
      <c r="E133" s="2" t="s">
        <v>47</v>
      </c>
      <c r="F133" s="2"/>
      <c r="G133" s="2"/>
      <c r="H133" s="2"/>
      <c r="I133" s="2" t="b">
        <v>0</v>
      </c>
      <c r="J133" s="2">
        <v>30</v>
      </c>
      <c r="K133" t="s">
        <v>83</v>
      </c>
      <c r="L133">
        <v>17</v>
      </c>
    </row>
    <row r="134" spans="1:12" ht="57" x14ac:dyDescent="0.2">
      <c r="A134" s="2" t="s">
        <v>119</v>
      </c>
      <c r="B134" s="2">
        <v>6</v>
      </c>
      <c r="C134" s="2" t="s">
        <v>126</v>
      </c>
      <c r="D134" s="2" t="s">
        <v>14</v>
      </c>
      <c r="E134" s="2" t="s">
        <v>40</v>
      </c>
      <c r="F134" s="2"/>
      <c r="G134" s="2"/>
      <c r="H134" s="2"/>
      <c r="I134" s="2" t="b">
        <v>0</v>
      </c>
      <c r="J134" s="2">
        <v>120</v>
      </c>
      <c r="K134" t="s">
        <v>83</v>
      </c>
      <c r="L134">
        <v>16</v>
      </c>
    </row>
    <row r="135" spans="1:12" ht="29" x14ac:dyDescent="0.2">
      <c r="A135" s="2" t="s">
        <v>119</v>
      </c>
      <c r="B135" s="2">
        <v>6</v>
      </c>
      <c r="C135" s="2" t="s">
        <v>87</v>
      </c>
      <c r="D135" s="2" t="s">
        <v>14</v>
      </c>
      <c r="E135" s="2" t="s">
        <v>40</v>
      </c>
      <c r="F135" s="2"/>
      <c r="G135" s="2"/>
      <c r="H135" s="2"/>
      <c r="I135" s="2" t="b">
        <v>0</v>
      </c>
      <c r="J135" s="2">
        <v>30</v>
      </c>
      <c r="K135" t="s">
        <v>83</v>
      </c>
      <c r="L135">
        <v>16</v>
      </c>
    </row>
    <row r="136" spans="1:12" ht="43" x14ac:dyDescent="0.2">
      <c r="A136" s="2" t="s">
        <v>119</v>
      </c>
      <c r="B136" s="2">
        <v>6</v>
      </c>
      <c r="C136" s="2" t="s">
        <v>127</v>
      </c>
      <c r="D136" s="2" t="s">
        <v>14</v>
      </c>
      <c r="E136" s="2" t="s">
        <v>50</v>
      </c>
      <c r="F136" s="2"/>
      <c r="G136" s="2"/>
      <c r="H136" s="2"/>
      <c r="I136" s="2" t="b">
        <v>0</v>
      </c>
      <c r="J136" s="2">
        <v>60</v>
      </c>
      <c r="K136" t="s">
        <v>83</v>
      </c>
      <c r="L136">
        <v>14</v>
      </c>
    </row>
    <row r="137" spans="1:12" ht="43" x14ac:dyDescent="0.2">
      <c r="A137" s="2" t="s">
        <v>119</v>
      </c>
      <c r="B137" s="2">
        <v>6</v>
      </c>
      <c r="C137" s="2" t="s">
        <v>128</v>
      </c>
      <c r="D137" s="2" t="s">
        <v>14</v>
      </c>
      <c r="E137" s="2" t="s">
        <v>50</v>
      </c>
      <c r="F137" s="2"/>
      <c r="G137" s="2"/>
      <c r="H137" s="2"/>
      <c r="I137" s="2" t="b">
        <v>0</v>
      </c>
      <c r="J137" s="2">
        <v>120</v>
      </c>
      <c r="K137" t="s">
        <v>83</v>
      </c>
      <c r="L137">
        <v>14</v>
      </c>
    </row>
    <row r="138" spans="1:12" ht="29" x14ac:dyDescent="0.2">
      <c r="A138" s="2" t="s">
        <v>119</v>
      </c>
      <c r="B138" s="2">
        <v>6</v>
      </c>
      <c r="C138" s="2" t="s">
        <v>87</v>
      </c>
      <c r="D138" s="2" t="s">
        <v>14</v>
      </c>
      <c r="E138" s="2" t="s">
        <v>50</v>
      </c>
      <c r="F138" s="2"/>
      <c r="G138" s="2"/>
      <c r="H138" s="2"/>
      <c r="I138" s="2" t="b">
        <v>0</v>
      </c>
      <c r="J138" s="2">
        <v>30</v>
      </c>
      <c r="K138" t="s">
        <v>83</v>
      </c>
      <c r="L138">
        <v>14</v>
      </c>
    </row>
    <row r="139" spans="1:12" ht="43" x14ac:dyDescent="0.2">
      <c r="A139" s="2" t="s">
        <v>119</v>
      </c>
      <c r="B139" s="2">
        <v>6</v>
      </c>
      <c r="C139" s="2" t="s">
        <v>129</v>
      </c>
      <c r="D139" s="2" t="s">
        <v>14</v>
      </c>
      <c r="E139" s="2" t="s">
        <v>53</v>
      </c>
      <c r="F139" s="2"/>
      <c r="G139" s="2"/>
      <c r="H139" s="2"/>
      <c r="I139" s="2" t="b">
        <v>0</v>
      </c>
      <c r="J139" s="2">
        <v>120</v>
      </c>
      <c r="K139" t="s">
        <v>83</v>
      </c>
      <c r="L139">
        <v>19</v>
      </c>
    </row>
    <row r="140" spans="1:12" ht="71" x14ac:dyDescent="0.2">
      <c r="A140" s="2" t="s">
        <v>119</v>
      </c>
      <c r="B140" s="2">
        <v>6</v>
      </c>
      <c r="C140" s="2" t="s">
        <v>93</v>
      </c>
      <c r="D140" s="2" t="s">
        <v>17</v>
      </c>
      <c r="E140" s="2" t="s">
        <v>56</v>
      </c>
      <c r="F140" s="2" t="s">
        <v>48</v>
      </c>
      <c r="G140" s="2" t="s">
        <v>49</v>
      </c>
      <c r="H140" s="2">
        <v>35</v>
      </c>
      <c r="I140" s="2" t="b">
        <v>0</v>
      </c>
      <c r="J140" s="2">
        <v>45</v>
      </c>
      <c r="K140" t="s">
        <v>47</v>
      </c>
      <c r="L140">
        <v>109</v>
      </c>
    </row>
    <row r="141" spans="1:12" ht="57" x14ac:dyDescent="0.2">
      <c r="A141" s="2" t="s">
        <v>119</v>
      </c>
      <c r="B141" s="2">
        <v>6</v>
      </c>
      <c r="C141" s="2" t="s">
        <v>130</v>
      </c>
      <c r="D141" s="2" t="s">
        <v>17</v>
      </c>
      <c r="E141" s="2" t="s">
        <v>41</v>
      </c>
      <c r="F141" s="2" t="s">
        <v>42</v>
      </c>
      <c r="G141" s="2" t="s">
        <v>43</v>
      </c>
      <c r="H141" s="2">
        <v>69</v>
      </c>
      <c r="I141" s="2" t="b">
        <v>1</v>
      </c>
      <c r="J141" s="2">
        <v>60</v>
      </c>
      <c r="K141" t="s">
        <v>41</v>
      </c>
      <c r="L141">
        <v>18</v>
      </c>
    </row>
    <row r="142" spans="1:12" ht="29" x14ac:dyDescent="0.2">
      <c r="A142" s="2" t="s">
        <v>119</v>
      </c>
      <c r="B142" s="2">
        <v>6</v>
      </c>
      <c r="C142" s="2" t="s">
        <v>87</v>
      </c>
      <c r="D142" s="2" t="s">
        <v>17</v>
      </c>
      <c r="E142" s="2" t="s">
        <v>41</v>
      </c>
      <c r="F142" s="2" t="s">
        <v>42</v>
      </c>
      <c r="G142" s="2" t="s">
        <v>43</v>
      </c>
      <c r="H142" s="2">
        <v>69</v>
      </c>
      <c r="I142" s="2" t="b">
        <v>1</v>
      </c>
      <c r="J142" s="2">
        <v>30</v>
      </c>
      <c r="K142" t="s">
        <v>41</v>
      </c>
      <c r="L142">
        <v>18</v>
      </c>
    </row>
    <row r="143" spans="1:12" ht="29" x14ac:dyDescent="0.2">
      <c r="A143" s="2" t="s">
        <v>119</v>
      </c>
      <c r="B143" s="2">
        <v>6</v>
      </c>
      <c r="C143" s="2" t="s">
        <v>120</v>
      </c>
      <c r="D143" s="2" t="s">
        <v>17</v>
      </c>
      <c r="E143" s="2" t="s">
        <v>44</v>
      </c>
      <c r="F143" s="2" t="s">
        <v>45</v>
      </c>
      <c r="G143" s="2" t="s">
        <v>46</v>
      </c>
      <c r="H143" s="2">
        <v>80</v>
      </c>
      <c r="I143" s="2" t="b">
        <v>0</v>
      </c>
      <c r="J143" s="2">
        <v>60</v>
      </c>
      <c r="K143" t="s">
        <v>44</v>
      </c>
      <c r="L143">
        <v>20</v>
      </c>
    </row>
    <row r="144" spans="1:12" x14ac:dyDescent="0.2">
      <c r="A144" s="2" t="s">
        <v>119</v>
      </c>
      <c r="B144" s="2">
        <v>6</v>
      </c>
      <c r="C144" s="2" t="s">
        <v>131</v>
      </c>
      <c r="D144" s="2" t="s">
        <v>17</v>
      </c>
      <c r="E144" s="2" t="s">
        <v>47</v>
      </c>
      <c r="F144" s="2" t="s">
        <v>48</v>
      </c>
      <c r="G144" s="2" t="s">
        <v>49</v>
      </c>
      <c r="H144" s="2">
        <v>12</v>
      </c>
      <c r="I144" s="2" t="b">
        <v>1</v>
      </c>
      <c r="J144" s="2">
        <v>60</v>
      </c>
      <c r="K144" t="s">
        <v>47</v>
      </c>
      <c r="L144">
        <v>17</v>
      </c>
    </row>
    <row r="145" spans="1:12" ht="29" x14ac:dyDescent="0.2">
      <c r="A145" s="2" t="s">
        <v>119</v>
      </c>
      <c r="B145" s="2">
        <v>6</v>
      </c>
      <c r="C145" s="2" t="s">
        <v>120</v>
      </c>
      <c r="D145" s="2" t="s">
        <v>17</v>
      </c>
      <c r="E145" s="2" t="s">
        <v>47</v>
      </c>
      <c r="F145" s="2" t="s">
        <v>48</v>
      </c>
      <c r="G145" s="2" t="s">
        <v>49</v>
      </c>
      <c r="H145" s="2">
        <v>54</v>
      </c>
      <c r="I145" s="2" t="b">
        <v>0</v>
      </c>
      <c r="J145" s="2">
        <v>60</v>
      </c>
      <c r="K145" t="s">
        <v>47</v>
      </c>
      <c r="L145">
        <v>17</v>
      </c>
    </row>
    <row r="146" spans="1:12" ht="29" x14ac:dyDescent="0.2">
      <c r="A146" s="2" t="s">
        <v>119</v>
      </c>
      <c r="B146" s="2">
        <v>6</v>
      </c>
      <c r="C146" s="2" t="s">
        <v>120</v>
      </c>
      <c r="D146" s="2" t="s">
        <v>17</v>
      </c>
      <c r="E146" s="2" t="s">
        <v>40</v>
      </c>
      <c r="F146" s="2" t="s">
        <v>76</v>
      </c>
      <c r="G146" s="2" t="s">
        <v>77</v>
      </c>
      <c r="H146" s="2">
        <v>60</v>
      </c>
      <c r="I146" s="2" t="b">
        <v>0</v>
      </c>
      <c r="J146" s="2">
        <v>60</v>
      </c>
      <c r="K146" t="s">
        <v>40</v>
      </c>
      <c r="L146">
        <v>16</v>
      </c>
    </row>
    <row r="147" spans="1:12" ht="43" x14ac:dyDescent="0.2">
      <c r="A147" s="2" t="s">
        <v>119</v>
      </c>
      <c r="B147" s="2">
        <v>6</v>
      </c>
      <c r="C147" s="2" t="s">
        <v>132</v>
      </c>
      <c r="D147" s="2" t="s">
        <v>17</v>
      </c>
      <c r="E147" s="2" t="s">
        <v>40</v>
      </c>
      <c r="F147" s="2" t="s">
        <v>76</v>
      </c>
      <c r="G147" s="2" t="s">
        <v>77</v>
      </c>
      <c r="H147" s="2">
        <v>120</v>
      </c>
      <c r="I147" s="2" t="b">
        <v>1</v>
      </c>
      <c r="J147" s="2">
        <v>60</v>
      </c>
      <c r="K147" t="s">
        <v>40</v>
      </c>
      <c r="L147">
        <v>16</v>
      </c>
    </row>
    <row r="148" spans="1:12" ht="29" x14ac:dyDescent="0.2">
      <c r="A148" s="2" t="s">
        <v>119</v>
      </c>
      <c r="B148" s="2">
        <v>6</v>
      </c>
      <c r="C148" s="2" t="s">
        <v>120</v>
      </c>
      <c r="D148" s="2" t="s">
        <v>17</v>
      </c>
      <c r="E148" s="2" t="s">
        <v>50</v>
      </c>
      <c r="F148" s="2" t="s">
        <v>51</v>
      </c>
      <c r="G148" s="2" t="s">
        <v>52</v>
      </c>
      <c r="H148" s="2"/>
      <c r="I148" s="2" t="b">
        <v>0</v>
      </c>
      <c r="J148" s="2">
        <v>60</v>
      </c>
      <c r="K148" t="s">
        <v>50</v>
      </c>
      <c r="L148">
        <v>14</v>
      </c>
    </row>
    <row r="149" spans="1:12" ht="29" x14ac:dyDescent="0.2">
      <c r="A149" s="2" t="s">
        <v>119</v>
      </c>
      <c r="B149" s="2">
        <v>6</v>
      </c>
      <c r="C149" s="2" t="s">
        <v>120</v>
      </c>
      <c r="D149" s="2" t="s">
        <v>17</v>
      </c>
      <c r="E149" s="2" t="s">
        <v>53</v>
      </c>
      <c r="F149" s="2" t="s">
        <v>54</v>
      </c>
      <c r="G149" s="2" t="s">
        <v>55</v>
      </c>
      <c r="H149" s="2">
        <v>150</v>
      </c>
      <c r="I149" s="2" t="b">
        <v>0</v>
      </c>
      <c r="J149" s="2">
        <v>60</v>
      </c>
      <c r="K149" t="s">
        <v>53</v>
      </c>
      <c r="L149">
        <v>19</v>
      </c>
    </row>
    <row r="150" spans="1:12" ht="43" x14ac:dyDescent="0.2">
      <c r="A150" s="2" t="s">
        <v>119</v>
      </c>
      <c r="B150" s="2">
        <v>6</v>
      </c>
      <c r="C150" s="2" t="s">
        <v>133</v>
      </c>
      <c r="D150" s="2" t="s">
        <v>17</v>
      </c>
      <c r="E150" s="2" t="s">
        <v>53</v>
      </c>
      <c r="F150" s="2" t="s">
        <v>54</v>
      </c>
      <c r="G150" s="2" t="s">
        <v>55</v>
      </c>
      <c r="H150" s="2">
        <v>80</v>
      </c>
      <c r="I150" s="2" t="b">
        <v>1</v>
      </c>
      <c r="J150" s="2">
        <v>60</v>
      </c>
      <c r="K150" t="s">
        <v>53</v>
      </c>
      <c r="L150">
        <v>19</v>
      </c>
    </row>
    <row r="151" spans="1:12" ht="29" x14ac:dyDescent="0.2">
      <c r="A151" s="2" t="s">
        <v>119</v>
      </c>
      <c r="B151" s="2">
        <v>6</v>
      </c>
      <c r="C151" s="2" t="s">
        <v>87</v>
      </c>
      <c r="D151" s="2" t="s">
        <v>17</v>
      </c>
      <c r="E151" s="2" t="s">
        <v>53</v>
      </c>
      <c r="F151" s="2" t="s">
        <v>54</v>
      </c>
      <c r="G151" s="2" t="s">
        <v>55</v>
      </c>
      <c r="H151" s="2">
        <v>156</v>
      </c>
      <c r="I151" s="2" t="b">
        <v>1</v>
      </c>
      <c r="J151" s="2">
        <v>30</v>
      </c>
      <c r="K151" t="s">
        <v>53</v>
      </c>
      <c r="L151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J62"/>
  <sheetViews>
    <sheetView workbookViewId="0">
      <selection activeCell="E1" sqref="E1:E1048576"/>
    </sheetView>
  </sheetViews>
  <sheetFormatPr baseColWidth="10" defaultRowHeight="16" x14ac:dyDescent="0.2"/>
  <sheetData>
    <row r="1" spans="1:10" ht="43" x14ac:dyDescent="0.2">
      <c r="A1" s="2" t="s">
        <v>119</v>
      </c>
      <c r="B1" s="2">
        <v>6</v>
      </c>
      <c r="C1" s="2" t="s">
        <v>120</v>
      </c>
      <c r="D1" s="2" t="s">
        <v>14</v>
      </c>
      <c r="E1" s="2" t="s">
        <v>41</v>
      </c>
      <c r="F1" s="2"/>
      <c r="G1" s="2"/>
      <c r="H1" s="2"/>
      <c r="I1" s="2" t="b">
        <v>0</v>
      </c>
      <c r="J1" s="2">
        <v>60</v>
      </c>
    </row>
    <row r="2" spans="1:10" ht="113" x14ac:dyDescent="0.2">
      <c r="A2" s="2" t="s">
        <v>119</v>
      </c>
      <c r="B2" s="2">
        <v>6</v>
      </c>
      <c r="C2" s="2" t="s">
        <v>121</v>
      </c>
      <c r="D2" s="2" t="s">
        <v>14</v>
      </c>
      <c r="E2" s="2" t="s">
        <v>41</v>
      </c>
      <c r="F2" s="2"/>
      <c r="G2" s="2"/>
      <c r="H2" s="2"/>
      <c r="I2" s="2" t="b">
        <v>0</v>
      </c>
      <c r="J2" s="2">
        <v>120</v>
      </c>
    </row>
    <row r="3" spans="1:10" ht="85" x14ac:dyDescent="0.2">
      <c r="A3" s="2" t="s">
        <v>119</v>
      </c>
      <c r="B3" s="2">
        <v>6</v>
      </c>
      <c r="C3" s="2" t="s">
        <v>122</v>
      </c>
      <c r="D3" s="2" t="s">
        <v>14</v>
      </c>
      <c r="E3" s="2" t="s">
        <v>44</v>
      </c>
      <c r="F3" s="2"/>
      <c r="G3" s="2"/>
      <c r="H3" s="2"/>
      <c r="I3" s="2" t="b">
        <v>0</v>
      </c>
      <c r="J3" s="2">
        <v>60</v>
      </c>
    </row>
    <row r="4" spans="1:10" ht="85" x14ac:dyDescent="0.2">
      <c r="A4" s="2" t="s">
        <v>119</v>
      </c>
      <c r="B4" s="2">
        <v>6</v>
      </c>
      <c r="C4" s="2" t="s">
        <v>123</v>
      </c>
      <c r="D4" s="2" t="s">
        <v>14</v>
      </c>
      <c r="E4" s="2" t="s">
        <v>44</v>
      </c>
      <c r="F4" s="2"/>
      <c r="G4" s="2"/>
      <c r="H4" s="2"/>
      <c r="I4" s="2" t="b">
        <v>0</v>
      </c>
      <c r="J4" s="2">
        <v>120</v>
      </c>
    </row>
    <row r="5" spans="1:10" ht="57" x14ac:dyDescent="0.2">
      <c r="A5" s="2" t="s">
        <v>119</v>
      </c>
      <c r="B5" s="2">
        <v>6</v>
      </c>
      <c r="C5" s="2" t="s">
        <v>87</v>
      </c>
      <c r="D5" s="2" t="s">
        <v>14</v>
      </c>
      <c r="E5" s="2" t="s">
        <v>44</v>
      </c>
      <c r="F5" s="2"/>
      <c r="G5" s="2"/>
      <c r="H5" s="2"/>
      <c r="I5" s="2" t="b">
        <v>0</v>
      </c>
      <c r="J5" s="2">
        <v>30</v>
      </c>
    </row>
    <row r="6" spans="1:10" ht="127" x14ac:dyDescent="0.2">
      <c r="A6" s="2" t="s">
        <v>119</v>
      </c>
      <c r="B6" s="2">
        <v>6</v>
      </c>
      <c r="C6" s="2" t="s">
        <v>124</v>
      </c>
      <c r="D6" s="2" t="s">
        <v>14</v>
      </c>
      <c r="E6" s="2" t="s">
        <v>47</v>
      </c>
      <c r="F6" s="2"/>
      <c r="G6" s="2"/>
      <c r="H6" s="2"/>
      <c r="I6" s="2" t="b">
        <v>0</v>
      </c>
      <c r="J6" s="2">
        <v>60</v>
      </c>
    </row>
    <row r="7" spans="1:10" ht="127" x14ac:dyDescent="0.2">
      <c r="A7" s="2" t="s">
        <v>119</v>
      </c>
      <c r="B7" s="2">
        <v>6</v>
      </c>
      <c r="C7" s="2" t="s">
        <v>125</v>
      </c>
      <c r="D7" s="2" t="s">
        <v>14</v>
      </c>
      <c r="E7" s="2" t="s">
        <v>47</v>
      </c>
      <c r="F7" s="2"/>
      <c r="G7" s="2"/>
      <c r="H7" s="2"/>
      <c r="I7" s="2" t="b">
        <v>0</v>
      </c>
      <c r="J7" s="2">
        <v>120</v>
      </c>
    </row>
    <row r="8" spans="1:10" ht="57" x14ac:dyDescent="0.2">
      <c r="A8" s="2" t="s">
        <v>119</v>
      </c>
      <c r="B8" s="2">
        <v>6</v>
      </c>
      <c r="C8" s="2" t="s">
        <v>87</v>
      </c>
      <c r="D8" s="2" t="s">
        <v>14</v>
      </c>
      <c r="E8" s="2" t="s">
        <v>47</v>
      </c>
      <c r="F8" s="2"/>
      <c r="G8" s="2"/>
      <c r="H8" s="2"/>
      <c r="I8" s="2" t="b">
        <v>0</v>
      </c>
      <c r="J8" s="2">
        <v>30</v>
      </c>
    </row>
    <row r="9" spans="1:10" ht="99" x14ac:dyDescent="0.2">
      <c r="A9" s="2" t="s">
        <v>119</v>
      </c>
      <c r="B9" s="2">
        <v>6</v>
      </c>
      <c r="C9" s="2" t="s">
        <v>126</v>
      </c>
      <c r="D9" s="2" t="s">
        <v>14</v>
      </c>
      <c r="E9" s="2" t="s">
        <v>40</v>
      </c>
      <c r="F9" s="2"/>
      <c r="G9" s="2"/>
      <c r="H9" s="2"/>
      <c r="I9" s="2" t="b">
        <v>0</v>
      </c>
      <c r="J9" s="2">
        <v>120</v>
      </c>
    </row>
    <row r="10" spans="1:10" ht="57" x14ac:dyDescent="0.2">
      <c r="A10" s="2" t="s">
        <v>119</v>
      </c>
      <c r="B10" s="2">
        <v>6</v>
      </c>
      <c r="C10" s="2" t="s">
        <v>87</v>
      </c>
      <c r="D10" s="2" t="s">
        <v>14</v>
      </c>
      <c r="E10" s="2" t="s">
        <v>40</v>
      </c>
      <c r="F10" s="2"/>
      <c r="G10" s="2"/>
      <c r="H10" s="2"/>
      <c r="I10" s="2" t="b">
        <v>0</v>
      </c>
      <c r="J10" s="2">
        <v>30</v>
      </c>
    </row>
    <row r="11" spans="1:10" ht="85" x14ac:dyDescent="0.2">
      <c r="A11" s="2" t="s">
        <v>119</v>
      </c>
      <c r="B11" s="2">
        <v>6</v>
      </c>
      <c r="C11" s="2" t="s">
        <v>127</v>
      </c>
      <c r="D11" s="2" t="s">
        <v>14</v>
      </c>
      <c r="E11" s="2" t="s">
        <v>50</v>
      </c>
      <c r="F11" s="2"/>
      <c r="G11" s="2"/>
      <c r="H11" s="2"/>
      <c r="I11" s="2" t="b">
        <v>0</v>
      </c>
      <c r="J11" s="2">
        <v>60</v>
      </c>
    </row>
    <row r="12" spans="1:10" ht="85" x14ac:dyDescent="0.2">
      <c r="A12" s="2" t="s">
        <v>119</v>
      </c>
      <c r="B12" s="2">
        <v>6</v>
      </c>
      <c r="C12" s="2" t="s">
        <v>128</v>
      </c>
      <c r="D12" s="2" t="s">
        <v>14</v>
      </c>
      <c r="E12" s="2" t="s">
        <v>50</v>
      </c>
      <c r="F12" s="2"/>
      <c r="G12" s="2"/>
      <c r="H12" s="2"/>
      <c r="I12" s="2" t="b">
        <v>0</v>
      </c>
      <c r="J12" s="2">
        <v>120</v>
      </c>
    </row>
    <row r="13" spans="1:10" ht="57" x14ac:dyDescent="0.2">
      <c r="A13" s="2" t="s">
        <v>119</v>
      </c>
      <c r="B13" s="2">
        <v>6</v>
      </c>
      <c r="C13" s="2" t="s">
        <v>87</v>
      </c>
      <c r="D13" s="2" t="s">
        <v>14</v>
      </c>
      <c r="E13" s="2" t="s">
        <v>50</v>
      </c>
      <c r="F13" s="2"/>
      <c r="G13" s="2"/>
      <c r="H13" s="2"/>
      <c r="I13" s="2" t="b">
        <v>0</v>
      </c>
      <c r="J13" s="2">
        <v>30</v>
      </c>
    </row>
    <row r="14" spans="1:10" ht="99" x14ac:dyDescent="0.2">
      <c r="A14" s="2" t="s">
        <v>119</v>
      </c>
      <c r="B14" s="2">
        <v>6</v>
      </c>
      <c r="C14" s="2" t="s">
        <v>129</v>
      </c>
      <c r="D14" s="2" t="s">
        <v>14</v>
      </c>
      <c r="E14" s="2" t="s">
        <v>53</v>
      </c>
      <c r="F14" s="2"/>
      <c r="G14" s="2"/>
      <c r="H14" s="2"/>
      <c r="I14" s="2" t="b">
        <v>0</v>
      </c>
      <c r="J14" s="2">
        <v>120</v>
      </c>
    </row>
    <row r="15" spans="1:10" ht="169" x14ac:dyDescent="0.2">
      <c r="A15" s="2" t="s">
        <v>119</v>
      </c>
      <c r="B15" s="2">
        <v>6</v>
      </c>
      <c r="C15" s="2" t="s">
        <v>93</v>
      </c>
      <c r="D15" s="2" t="s">
        <v>17</v>
      </c>
      <c r="E15" s="2" t="s">
        <v>56</v>
      </c>
      <c r="F15" s="2" t="s">
        <v>48</v>
      </c>
      <c r="G15" s="2" t="s">
        <v>49</v>
      </c>
      <c r="H15" s="2">
        <v>35</v>
      </c>
      <c r="I15" s="2" t="b">
        <v>0</v>
      </c>
      <c r="J15" s="2">
        <v>45</v>
      </c>
    </row>
    <row r="16" spans="1:10" ht="113" x14ac:dyDescent="0.2">
      <c r="A16" s="2" t="s">
        <v>119</v>
      </c>
      <c r="B16" s="2">
        <v>6</v>
      </c>
      <c r="C16" s="2" t="s">
        <v>130</v>
      </c>
      <c r="D16" s="2" t="s">
        <v>17</v>
      </c>
      <c r="E16" s="2" t="s">
        <v>41</v>
      </c>
      <c r="F16" s="2" t="s">
        <v>42</v>
      </c>
      <c r="G16" s="2" t="s">
        <v>43</v>
      </c>
      <c r="H16" s="2">
        <v>69</v>
      </c>
      <c r="I16" s="2" t="b">
        <v>1</v>
      </c>
      <c r="J16" s="2">
        <v>60</v>
      </c>
    </row>
    <row r="17" spans="1:10" ht="57" x14ac:dyDescent="0.2">
      <c r="A17" s="2" t="s">
        <v>119</v>
      </c>
      <c r="B17" s="2">
        <v>6</v>
      </c>
      <c r="C17" s="2" t="s">
        <v>87</v>
      </c>
      <c r="D17" s="2" t="s">
        <v>17</v>
      </c>
      <c r="E17" s="2" t="s">
        <v>41</v>
      </c>
      <c r="F17" s="2" t="s">
        <v>42</v>
      </c>
      <c r="G17" s="2" t="s">
        <v>43</v>
      </c>
      <c r="H17" s="2">
        <v>69</v>
      </c>
      <c r="I17" s="2" t="b">
        <v>1</v>
      </c>
      <c r="J17" s="2">
        <v>30</v>
      </c>
    </row>
    <row r="18" spans="1:10" ht="43" x14ac:dyDescent="0.2">
      <c r="A18" s="2" t="s">
        <v>119</v>
      </c>
      <c r="B18" s="2">
        <v>6</v>
      </c>
      <c r="C18" s="2" t="s">
        <v>120</v>
      </c>
      <c r="D18" s="2" t="s">
        <v>17</v>
      </c>
      <c r="E18" s="2" t="s">
        <v>44</v>
      </c>
      <c r="F18" s="2" t="s">
        <v>45</v>
      </c>
      <c r="G18" s="2" t="s">
        <v>46</v>
      </c>
      <c r="H18" s="2">
        <v>80</v>
      </c>
      <c r="I18" s="2" t="b">
        <v>0</v>
      </c>
      <c r="J18" s="2">
        <v>60</v>
      </c>
    </row>
    <row r="19" spans="1:10" ht="43" x14ac:dyDescent="0.2">
      <c r="A19" s="2" t="s">
        <v>119</v>
      </c>
      <c r="B19" s="2">
        <v>6</v>
      </c>
      <c r="C19" s="2" t="s">
        <v>131</v>
      </c>
      <c r="D19" s="2" t="s">
        <v>17</v>
      </c>
      <c r="E19" s="2" t="s">
        <v>47</v>
      </c>
      <c r="F19" s="2" t="s">
        <v>48</v>
      </c>
      <c r="G19" s="2" t="s">
        <v>49</v>
      </c>
      <c r="H19" s="2">
        <v>12</v>
      </c>
      <c r="I19" s="2" t="b">
        <v>1</v>
      </c>
      <c r="J19" s="2">
        <v>60</v>
      </c>
    </row>
    <row r="20" spans="1:10" ht="43" x14ac:dyDescent="0.2">
      <c r="A20" s="2" t="s">
        <v>119</v>
      </c>
      <c r="B20" s="2">
        <v>6</v>
      </c>
      <c r="C20" s="2" t="s">
        <v>120</v>
      </c>
      <c r="D20" s="2" t="s">
        <v>17</v>
      </c>
      <c r="E20" s="2" t="s">
        <v>47</v>
      </c>
      <c r="F20" s="2" t="s">
        <v>48</v>
      </c>
      <c r="G20" s="2" t="s">
        <v>49</v>
      </c>
      <c r="H20" s="2">
        <v>54</v>
      </c>
      <c r="I20" s="2" t="b">
        <v>0</v>
      </c>
      <c r="J20" s="2">
        <v>60</v>
      </c>
    </row>
    <row r="21" spans="1:10" ht="43" x14ac:dyDescent="0.2">
      <c r="A21" s="2" t="s">
        <v>119</v>
      </c>
      <c r="B21" s="2">
        <v>6</v>
      </c>
      <c r="C21" s="2" t="s">
        <v>120</v>
      </c>
      <c r="D21" s="2" t="s">
        <v>17</v>
      </c>
      <c r="E21" s="2" t="s">
        <v>40</v>
      </c>
      <c r="F21" s="2" t="s">
        <v>76</v>
      </c>
      <c r="G21" s="2" t="s">
        <v>77</v>
      </c>
      <c r="H21" s="2">
        <v>60</v>
      </c>
      <c r="I21" s="2" t="b">
        <v>0</v>
      </c>
      <c r="J21" s="2">
        <v>60</v>
      </c>
    </row>
    <row r="22" spans="1:10" ht="99" x14ac:dyDescent="0.2">
      <c r="A22" s="2" t="s">
        <v>119</v>
      </c>
      <c r="B22" s="2">
        <v>6</v>
      </c>
      <c r="C22" s="2" t="s">
        <v>132</v>
      </c>
      <c r="D22" s="2" t="s">
        <v>17</v>
      </c>
      <c r="E22" s="2" t="s">
        <v>40</v>
      </c>
      <c r="F22" s="2" t="s">
        <v>76</v>
      </c>
      <c r="G22" s="2" t="s">
        <v>77</v>
      </c>
      <c r="H22" s="2">
        <v>120</v>
      </c>
      <c r="I22" s="2" t="b">
        <v>1</v>
      </c>
      <c r="J22" s="2">
        <v>60</v>
      </c>
    </row>
    <row r="23" spans="1:10" ht="43" x14ac:dyDescent="0.2">
      <c r="A23" s="2" t="s">
        <v>119</v>
      </c>
      <c r="B23" s="2">
        <v>6</v>
      </c>
      <c r="C23" s="2" t="s">
        <v>120</v>
      </c>
      <c r="D23" s="2" t="s">
        <v>17</v>
      </c>
      <c r="E23" s="2" t="s">
        <v>50</v>
      </c>
      <c r="F23" s="2" t="s">
        <v>51</v>
      </c>
      <c r="G23" s="2" t="s">
        <v>52</v>
      </c>
      <c r="H23" s="2"/>
      <c r="I23" s="2" t="b">
        <v>0</v>
      </c>
      <c r="J23" s="2">
        <v>60</v>
      </c>
    </row>
    <row r="24" spans="1:10" ht="43" x14ac:dyDescent="0.2">
      <c r="A24" s="2" t="s">
        <v>119</v>
      </c>
      <c r="B24" s="2">
        <v>6</v>
      </c>
      <c r="C24" s="2" t="s">
        <v>120</v>
      </c>
      <c r="D24" s="2" t="s">
        <v>17</v>
      </c>
      <c r="E24" s="2" t="s">
        <v>53</v>
      </c>
      <c r="F24" s="2" t="s">
        <v>54</v>
      </c>
      <c r="G24" s="2" t="s">
        <v>55</v>
      </c>
      <c r="H24" s="2">
        <v>150</v>
      </c>
      <c r="I24" s="2" t="b">
        <v>0</v>
      </c>
      <c r="J24" s="2">
        <v>60</v>
      </c>
    </row>
    <row r="25" spans="1:10" ht="99" x14ac:dyDescent="0.2">
      <c r="A25" s="2" t="s">
        <v>119</v>
      </c>
      <c r="B25" s="2">
        <v>6</v>
      </c>
      <c r="C25" s="2" t="s">
        <v>133</v>
      </c>
      <c r="D25" s="2" t="s">
        <v>17</v>
      </c>
      <c r="E25" s="2" t="s">
        <v>53</v>
      </c>
      <c r="F25" s="2" t="s">
        <v>54</v>
      </c>
      <c r="G25" s="2" t="s">
        <v>55</v>
      </c>
      <c r="H25" s="2">
        <v>80</v>
      </c>
      <c r="I25" s="2" t="b">
        <v>1</v>
      </c>
      <c r="J25" s="2">
        <v>60</v>
      </c>
    </row>
    <row r="26" spans="1:10" ht="57" x14ac:dyDescent="0.2">
      <c r="A26" s="2" t="s">
        <v>119</v>
      </c>
      <c r="B26" s="2">
        <v>6</v>
      </c>
      <c r="C26" s="2" t="s">
        <v>87</v>
      </c>
      <c r="D26" s="2" t="s">
        <v>17</v>
      </c>
      <c r="E26" s="2" t="s">
        <v>53</v>
      </c>
      <c r="F26" s="2" t="s">
        <v>54</v>
      </c>
      <c r="G26" s="2" t="s">
        <v>55</v>
      </c>
      <c r="H26" s="2">
        <v>156</v>
      </c>
      <c r="I26" s="2" t="b">
        <v>1</v>
      </c>
      <c r="J26" s="2">
        <v>30</v>
      </c>
    </row>
    <row r="27" spans="1:10" x14ac:dyDescent="0.2">
      <c r="A27" s="2"/>
      <c r="B27" s="2"/>
      <c r="C27" s="2"/>
    </row>
    <row r="28" spans="1:10" x14ac:dyDescent="0.2">
      <c r="A28" s="2"/>
      <c r="B28" s="2"/>
      <c r="C28" s="2"/>
    </row>
    <row r="29" spans="1:10" x14ac:dyDescent="0.2">
      <c r="A29" s="2"/>
      <c r="B29" s="2"/>
    </row>
    <row r="30" spans="1:10" x14ac:dyDescent="0.2">
      <c r="A30" s="2"/>
      <c r="B30" s="2"/>
    </row>
    <row r="31" spans="1:10" x14ac:dyDescent="0.2">
      <c r="A31" s="2"/>
      <c r="B31" s="2"/>
    </row>
    <row r="32" spans="1:10" x14ac:dyDescent="0.2">
      <c r="A32" s="2"/>
      <c r="B32" s="2"/>
    </row>
    <row r="33" spans="1:2" x14ac:dyDescent="0.2">
      <c r="A33" s="2"/>
      <c r="B33" s="2"/>
    </row>
    <row r="34" spans="1:2" x14ac:dyDescent="0.2">
      <c r="A34" s="2"/>
      <c r="B34" s="2"/>
    </row>
    <row r="35" spans="1:2" x14ac:dyDescent="0.2">
      <c r="A35" s="2"/>
      <c r="B35" s="2"/>
    </row>
    <row r="36" spans="1:2" x14ac:dyDescent="0.2">
      <c r="A36" s="2"/>
      <c r="B36" s="2"/>
    </row>
    <row r="37" spans="1:2" x14ac:dyDescent="0.2">
      <c r="A37" s="2"/>
      <c r="B37" s="2"/>
    </row>
    <row r="38" spans="1:2" x14ac:dyDescent="0.2">
      <c r="A38" s="2"/>
      <c r="B38" s="2"/>
    </row>
    <row r="39" spans="1:2" x14ac:dyDescent="0.2">
      <c r="A39" s="2"/>
      <c r="B39" s="2"/>
    </row>
    <row r="40" spans="1:2" x14ac:dyDescent="0.2">
      <c r="A40" s="2"/>
      <c r="B40" s="2"/>
    </row>
    <row r="41" spans="1:2" x14ac:dyDescent="0.2">
      <c r="A41" s="2"/>
      <c r="B41" s="2"/>
    </row>
    <row r="42" spans="1:2" x14ac:dyDescent="0.2">
      <c r="A42" s="2"/>
      <c r="B42" s="2"/>
    </row>
    <row r="43" spans="1:2" x14ac:dyDescent="0.2">
      <c r="A43" s="2"/>
      <c r="B43" s="2"/>
    </row>
    <row r="44" spans="1:2" x14ac:dyDescent="0.2">
      <c r="A44" s="2"/>
      <c r="B44" s="2"/>
    </row>
    <row r="45" spans="1:2" x14ac:dyDescent="0.2">
      <c r="A45" s="2"/>
      <c r="B45" s="2"/>
    </row>
    <row r="46" spans="1:2" x14ac:dyDescent="0.2">
      <c r="A46" s="2"/>
      <c r="B46" s="2"/>
    </row>
    <row r="47" spans="1:2" x14ac:dyDescent="0.2">
      <c r="A47" s="2"/>
      <c r="B47" s="2"/>
    </row>
    <row r="48" spans="1:2" x14ac:dyDescent="0.2">
      <c r="A48" s="2"/>
      <c r="B48" s="2"/>
    </row>
    <row r="49" spans="1:2" x14ac:dyDescent="0.2">
      <c r="A49" s="2"/>
      <c r="B49" s="2"/>
    </row>
    <row r="50" spans="1:2" x14ac:dyDescent="0.2">
      <c r="A50" s="2"/>
      <c r="B50" s="2"/>
    </row>
    <row r="51" spans="1:2" x14ac:dyDescent="0.2">
      <c r="A51" s="2"/>
      <c r="B51" s="2"/>
    </row>
    <row r="52" spans="1:2" x14ac:dyDescent="0.2">
      <c r="A52" s="2"/>
      <c r="B52" s="2"/>
    </row>
    <row r="53" spans="1:2" x14ac:dyDescent="0.2">
      <c r="A53" s="2"/>
      <c r="B53" s="2"/>
    </row>
    <row r="54" spans="1:2" x14ac:dyDescent="0.2">
      <c r="A54" s="2"/>
      <c r="B54" s="2"/>
    </row>
    <row r="55" spans="1:2" x14ac:dyDescent="0.2">
      <c r="A55" s="2"/>
      <c r="B55" s="2"/>
    </row>
    <row r="56" spans="1:2" x14ac:dyDescent="0.2">
      <c r="A56" s="2"/>
      <c r="B56" s="2"/>
    </row>
    <row r="57" spans="1:2" x14ac:dyDescent="0.2">
      <c r="A57" s="2"/>
      <c r="B57" s="2"/>
    </row>
    <row r="58" spans="1:2" x14ac:dyDescent="0.2">
      <c r="A58" s="2"/>
      <c r="B58" s="2"/>
    </row>
    <row r="59" spans="1:2" x14ac:dyDescent="0.2">
      <c r="A59" s="2"/>
      <c r="B59" s="2"/>
    </row>
    <row r="60" spans="1:2" x14ac:dyDescent="0.2">
      <c r="A60" s="2"/>
      <c r="B60" s="2"/>
    </row>
    <row r="61" spans="1:2" x14ac:dyDescent="0.2">
      <c r="A61" s="2"/>
      <c r="B61" s="2"/>
    </row>
    <row r="62" spans="1:2" x14ac:dyDescent="0.2">
      <c r="A62" s="2"/>
      <c r="B62" s="2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Reporte_C2</vt:lpstr>
      <vt:lpstr>Total C2</vt:lpstr>
      <vt:lpstr>Reporte_C1</vt:lpstr>
      <vt:lpstr>Persona</vt:lpstr>
      <vt:lpstr>Reporte Total</vt:lpstr>
      <vt:lpstr>Persona consolidado</vt:lpstr>
      <vt:lpstr>Overview</vt:lpstr>
      <vt:lpstr>subir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Microsoft Office User</cp:lastModifiedBy>
  <dcterms:created xsi:type="dcterms:W3CDTF">2019-02-11T21:39:28Z</dcterms:created>
  <dcterms:modified xsi:type="dcterms:W3CDTF">2019-04-08T23:02:18Z</dcterms:modified>
</cp:coreProperties>
</file>